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ustomer" sheetId="2" state="visible" r:id="rId2"/>
    <sheet name="By service" sheetId="3" state="visible" r:id="rId3"/>
    <sheet name="Backlog ageing" sheetId="4" state="visible" r:id="rId4"/>
    <sheet name="At-risk open tickets" sheetId="5" state="visible" r:id="rId5"/>
    <sheet name="Notes" sheetId="6" state="visible" r:id="rId6"/>
  </sheets>
  <definedNames>
    <definedName name="_xlnm._FilterDatabase" localSheetId="1" hidden="1">'By customer'!$A$5:$M$45</definedName>
    <definedName name="_xlnm._FilterDatabase" localSheetId="4" hidden="1">'At-risk open tickets'!$A$6:$O$56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+#,##0;-#,##0;0"/>
    <numFmt numFmtId="165" formatCode="0.0%"/>
    <numFmt numFmtId="166" formatCode="+0.0&quot; pp&quot;;-0.0&quot; pp&quot;;0.0&quot; pp&quot;"/>
    <numFmt numFmtId="167" formatCode="0.0"/>
    <numFmt numFmtId="168" formatCode="+0.0;-0.0;0.0"/>
    <numFmt numFmtId="169" formatCode="yyyy-mm-dd h:mm:ss"/>
    <numFmt numFmtId="170" formatCode="yyyy-mm-dd"/>
    <numFmt numFmtId="171" formatCode="yyyy-mm-dd hh:mm"/>
    <numFmt numFmtId="172" formatCode="0.000"/>
  </numFmts>
  <fonts count="8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b val="1"/>
      <color rgb="009C0006"/>
    </font>
    <font>
      <b val="1"/>
      <color rgb="00FFFFFF"/>
    </font>
    <font>
      <b val="1"/>
    </font>
    <font>
      <b val="1"/>
      <color rgb="009C0006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5" fillId="0" borderId="0" pivotButton="0" quotePrefix="0" xfId="0"/>
    <xf numFmtId="170" fontId="0" fillId="0" borderId="1" pivotButton="0" quotePrefix="0" xfId="0"/>
    <xf numFmtId="170" fontId="5" fillId="3" borderId="1" pivotButton="0" quotePrefix="0" xfId="0"/>
    <xf numFmtId="3" fontId="5" fillId="3" borderId="1" pivotButton="0" quotePrefix="0" xfId="0"/>
    <xf numFmtId="165" fontId="5" fillId="3" borderId="1" pivotButton="0" quotePrefix="0" xfId="0"/>
    <xf numFmtId="167" fontId="5" fillId="3" borderId="1" pivotButton="0" quotePrefix="0" xfId="0"/>
    <xf numFmtId="0" fontId="0" fillId="0" borderId="1" pivotButton="0" quotePrefix="0" xfId="0"/>
    <xf numFmtId="0" fontId="5" fillId="3" borderId="1" pivotButton="0" quotePrefix="0" xfId="0"/>
    <xf numFmtId="171" fontId="0" fillId="0" borderId="0" pivotButton="0" quotePrefix="0" xfId="0"/>
    <xf numFmtId="171" fontId="0" fillId="0" borderId="1" pivotButton="0" quotePrefix="0" xfId="0"/>
    <xf numFmtId="172" fontId="0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dxfs count="2"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SLA compliance by week (synthetic data)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'Summary'!E19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'Summary'!$A$20:$A$32</f>
            </numRef>
          </cat>
          <val>
            <numRef>
              <f>'Summary'!$E$20:$E$32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Week ending</a:t>
                </a:r>
              </a:p>
            </rich>
          </tx>
        </title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Compliance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opened vs resolved by week (synthetic data)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'Summary'!B19</f>
            </strRef>
          </tx>
          <spPr>
            <a:ln>
              <a:prstDash val="solid"/>
            </a:ln>
          </spPr>
          <cat>
            <numRef>
              <f>'Summary'!$A$20:$A$32</f>
            </numRef>
          </cat>
          <val>
            <numRef>
              <f>'Summary'!$B$20:$B$32</f>
            </numRef>
          </val>
        </ser>
        <ser>
          <idx val="1"/>
          <order val="1"/>
          <tx>
            <strRef>
              <f>'Summary'!C19</f>
            </strRef>
          </tx>
          <spPr>
            <a:ln>
              <a:prstDash val="solid"/>
            </a:ln>
          </spPr>
          <cat>
            <numRef>
              <f>'Summary'!$A$20:$A$32</f>
            </numRef>
          </cat>
          <val>
            <numRef>
              <f>'Summary'!$C$20:$C$32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yyyy-mm-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SLA breaches by service type (synthetic data)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service'!D5</f>
            </strRef>
          </tx>
          <spPr>
            <a:ln>
              <a:prstDash val="solid"/>
            </a:ln>
          </spPr>
          <cat>
            <numRef>
              <f>'By service'!$A$6:$A$11</f>
            </numRef>
          </cat>
          <val>
            <numRef>
              <f>'By service'!$D$6:$D$11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Open tickets by assignment group and age band (synthetic data)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'Backlog ageing'!B6</f>
            </strRef>
          </tx>
          <spPr>
            <a:ln>
              <a:prstDash val="solid"/>
            </a:ln>
          </spPr>
          <cat>
            <numRef>
              <f>'Backlog ageing'!$A$7:$A$14</f>
            </numRef>
          </cat>
          <val>
            <numRef>
              <f>'Backlog ageing'!$B$7:$B$14</f>
            </numRef>
          </val>
        </ser>
        <ser>
          <idx val="1"/>
          <order val="1"/>
          <tx>
            <strRef>
              <f>'Backlog ageing'!C6</f>
            </strRef>
          </tx>
          <spPr>
            <a:ln>
              <a:prstDash val="solid"/>
            </a:ln>
          </spPr>
          <cat>
            <numRef>
              <f>'Backlog ageing'!$A$7:$A$14</f>
            </numRef>
          </cat>
          <val>
            <numRef>
              <f>'Backlog ageing'!$C$7:$C$14</f>
            </numRef>
          </val>
        </ser>
        <ser>
          <idx val="2"/>
          <order val="2"/>
          <tx>
            <strRef>
              <f>'Backlog ageing'!D6</f>
            </strRef>
          </tx>
          <spPr>
            <a:ln>
              <a:prstDash val="solid"/>
            </a:ln>
          </spPr>
          <cat>
            <numRef>
              <f>'Backlog ageing'!$A$7:$A$14</f>
            </numRef>
          </cat>
          <val>
            <numRef>
              <f>'Backlog ageing'!$D$7:$D$14</f>
            </numRef>
          </val>
        </ser>
        <ser>
          <idx val="3"/>
          <order val="3"/>
          <tx>
            <strRef>
              <f>'Backlog ageing'!E6</f>
            </strRef>
          </tx>
          <spPr>
            <a:ln>
              <a:prstDash val="solid"/>
            </a:ln>
          </spPr>
          <cat>
            <numRef>
              <f>'Backlog ageing'!$A$7:$A$14</f>
            </numRef>
          </cat>
          <val>
            <numRef>
              <f>'Backlog ageing'!$E$7:$E$14</f>
            </numRef>
          </val>
        </ser>
        <ser>
          <idx val="4"/>
          <order val="4"/>
          <tx>
            <strRef>
              <f>'Backlog ageing'!F6</f>
            </strRef>
          </tx>
          <spPr>
            <a:ln>
              <a:prstDash val="solid"/>
            </a:ln>
          </spPr>
          <cat>
            <numRef>
              <f>'Backlog ageing'!$A$7:$A$14</f>
            </numRef>
          </cat>
          <val>
            <numRef>
              <f>'Backlog ageing'!$F$7:$F$14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20</row>
      <rowOff>0</rowOff>
    </from>
    <ext cx="576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29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5" customWidth="1" min="4" max="4"/>
    <col width="16" customWidth="1" min="5" max="5"/>
    <col width="18" customWidth="1" min="6" max="6"/>
    <col width="12" customWidth="1" min="7" max="7"/>
    <col width="3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Weekly service-desk KPI report - week ending 2026-06-28</t>
        </is>
      </c>
    </row>
    <row r="2">
      <c r="A2" s="2" t="inlineStr">
        <is>
          <t>Monday 2026-06-22 to Sunday 2026-06-28 (UTC). Prior week ends 2026-06-21; trailing 4-week average covers the weeks ending 2026-05-31 to 2026-06-21. Backlog measured at 2026-06-29 00:00:00 UTC.</t>
        </is>
      </c>
    </row>
    <row r="3">
      <c r="A3" s="3" t="inlineStr">
        <is>
          <t>SYNTHETIC DATA - generated by slawatch; no real customers, sites or tickets</t>
        </is>
      </c>
    </row>
    <row r="5" ht="30" customHeight="1">
      <c r="A5" s="4" t="inlineStr">
        <is>
          <t>KPI</t>
        </is>
      </c>
      <c r="B5" s="4" t="inlineStr">
        <is>
          <t>This week</t>
        </is>
      </c>
      <c r="C5" s="4" t="inlineStr">
        <is>
          <t>Prior week</t>
        </is>
      </c>
      <c r="D5" s="4" t="inlineStr">
        <is>
          <t>Change vs prior</t>
        </is>
      </c>
      <c r="E5" s="4" t="inlineStr">
        <is>
          <t>Trailing 4-wk avg</t>
        </is>
      </c>
      <c r="F5" s="4" t="inlineStr">
        <is>
          <t>Change vs 4-wk avg</t>
        </is>
      </c>
      <c r="G5" s="4" t="inlineStr">
        <is>
          <t>Better when</t>
        </is>
      </c>
    </row>
    <row r="6">
      <c r="A6" s="5" t="inlineStr">
        <is>
          <t>Tickets opened</t>
        </is>
      </c>
      <c r="B6" s="6">
        <f>B32</f>
        <v/>
      </c>
      <c r="C6" s="6">
        <f>B31</f>
        <v/>
      </c>
      <c r="D6" s="7">
        <f>B6-C6</f>
        <v/>
      </c>
      <c r="E6" s="6">
        <f>AVERAGE(B28:B31)</f>
        <v/>
      </c>
      <c r="F6" s="7">
        <f>B6-E6</f>
        <v/>
      </c>
      <c r="G6" s="8" t="inlineStr">
        <is>
          <t>-</t>
        </is>
      </c>
    </row>
    <row r="7">
      <c r="A7" s="5" t="inlineStr">
        <is>
          <t>Tickets resolved</t>
        </is>
      </c>
      <c r="B7" s="6">
        <f>C32</f>
        <v/>
      </c>
      <c r="C7" s="6">
        <f>C31</f>
        <v/>
      </c>
      <c r="D7" s="7">
        <f>B7-C7</f>
        <v/>
      </c>
      <c r="E7" s="6">
        <f>AVERAGE(C28:C31)</f>
        <v/>
      </c>
      <c r="F7" s="7">
        <f>B7-E7</f>
        <v/>
      </c>
      <c r="G7" s="8" t="inlineStr">
        <is>
          <t>higher</t>
        </is>
      </c>
    </row>
    <row r="8">
      <c r="A8" s="5" t="inlineStr">
        <is>
          <t>SLA compliance</t>
        </is>
      </c>
      <c r="B8" s="9">
        <f>E32</f>
        <v/>
      </c>
      <c r="C8" s="9">
        <f>E31</f>
        <v/>
      </c>
      <c r="D8" s="10">
        <f>(B8-C8)*100</f>
        <v/>
      </c>
      <c r="E8" s="9">
        <f>AVERAGE(E28:E31)</f>
        <v/>
      </c>
      <c r="F8" s="10">
        <f>(B8-E8)*100</f>
        <v/>
      </c>
      <c r="G8" s="8" t="inlineStr">
        <is>
          <t>higher</t>
        </is>
      </c>
    </row>
    <row r="9">
      <c r="A9" s="5" t="inlineStr">
        <is>
          <t>SLA breaches</t>
        </is>
      </c>
      <c r="B9" s="6">
        <f>D32</f>
        <v/>
      </c>
      <c r="C9" s="6">
        <f>D31</f>
        <v/>
      </c>
      <c r="D9" s="7">
        <f>B9-C9</f>
        <v/>
      </c>
      <c r="E9" s="6">
        <f>AVERAGE(D28:D31)</f>
        <v/>
      </c>
      <c r="F9" s="7">
        <f>B9-E9</f>
        <v/>
      </c>
      <c r="G9" s="8" t="inlineStr">
        <is>
          <t>lower</t>
        </is>
      </c>
    </row>
    <row r="10">
      <c r="A10" s="5" t="inlineStr">
        <is>
          <t>MTTR - mean resolution (h)</t>
        </is>
      </c>
      <c r="B10" s="11">
        <f>F32</f>
        <v/>
      </c>
      <c r="C10" s="11">
        <f>F31</f>
        <v/>
      </c>
      <c r="D10" s="12">
        <f>B10-C10</f>
        <v/>
      </c>
      <c r="E10" s="11">
        <f>AVERAGE(F28:F31)</f>
        <v/>
      </c>
      <c r="F10" s="12">
        <f>B10-E10</f>
        <v/>
      </c>
      <c r="G10" s="8" t="inlineStr">
        <is>
          <t>lower</t>
        </is>
      </c>
    </row>
    <row r="11">
      <c r="A11" s="5" t="inlineStr">
        <is>
          <t>Resolution time p50 (h)</t>
        </is>
      </c>
      <c r="B11" s="11">
        <f>G32</f>
        <v/>
      </c>
      <c r="C11" s="11">
        <f>G31</f>
        <v/>
      </c>
      <c r="D11" s="12">
        <f>B11-C11</f>
        <v/>
      </c>
      <c r="E11" s="11">
        <f>AVERAGE(G28:G31)</f>
        <v/>
      </c>
      <c r="F11" s="12">
        <f>B11-E11</f>
        <v/>
      </c>
      <c r="G11" s="8" t="inlineStr">
        <is>
          <t>lower</t>
        </is>
      </c>
    </row>
    <row r="12">
      <c r="A12" s="5" t="inlineStr">
        <is>
          <t>Resolution time p90 (h)</t>
        </is>
      </c>
      <c r="B12" s="11">
        <f>H32</f>
        <v/>
      </c>
      <c r="C12" s="11">
        <f>H31</f>
        <v/>
      </c>
      <c r="D12" s="12">
        <f>B12-C12</f>
        <v/>
      </c>
      <c r="E12" s="11">
        <f>AVERAGE(H28:H31)</f>
        <v/>
      </c>
      <c r="F12" s="12">
        <f>B12-E12</f>
        <v/>
      </c>
      <c r="G12" s="8" t="inlineStr">
        <is>
          <t>lower</t>
        </is>
      </c>
    </row>
    <row r="13">
      <c r="A13" s="5" t="inlineStr">
        <is>
          <t>Open backlog at week end</t>
        </is>
      </c>
      <c r="B13" s="6">
        <f>I32</f>
        <v/>
      </c>
      <c r="C13" s="6">
        <f>I31</f>
        <v/>
      </c>
      <c r="D13" s="7">
        <f>B13-C13</f>
        <v/>
      </c>
      <c r="E13" s="6">
        <f>AVERAGE(I28:I31)</f>
        <v/>
      </c>
      <c r="F13" s="7">
        <f>B13-E13</f>
        <v/>
      </c>
      <c r="G13" s="8" t="inlineStr">
        <is>
          <t>lower</t>
        </is>
      </c>
    </row>
    <row r="14">
      <c r="A14" s="5" t="inlineStr">
        <is>
          <t>Backlog aged over the SLA (past due)</t>
        </is>
      </c>
      <c r="B14" s="6">
        <f>J32</f>
        <v/>
      </c>
      <c r="C14" s="6">
        <f>J31</f>
        <v/>
      </c>
      <c r="D14" s="7">
        <f>B14-C14</f>
        <v/>
      </c>
      <c r="E14" s="6">
        <f>AVERAGE(J28:J31)</f>
        <v/>
      </c>
      <c r="F14" s="7">
        <f>B14-E14</f>
        <v/>
      </c>
      <c r="G14" s="8" t="inlineStr">
        <is>
          <t>lower</t>
        </is>
      </c>
    </row>
    <row r="15">
      <c r="A15" s="5" t="inlineStr">
        <is>
          <t>High-risk open tickets (model)</t>
        </is>
      </c>
      <c r="B15" s="6">
        <f>K32</f>
        <v/>
      </c>
      <c r="C15" s="6">
        <f>K31</f>
        <v/>
      </c>
      <c r="D15" s="7">
        <f>B15-C15</f>
        <v/>
      </c>
      <c r="E15" s="6">
        <f>AVERAGE(K28:K31)</f>
        <v/>
      </c>
      <c r="F15" s="7">
        <f>B15-E15</f>
        <v/>
      </c>
      <c r="G15" s="8" t="inlineStr">
        <is>
          <t>lower</t>
        </is>
      </c>
    </row>
    <row r="18">
      <c r="A18" s="13" t="inlineStr">
        <is>
          <t>Weekly trend - last 13 full weeks (report week last)</t>
        </is>
      </c>
    </row>
    <row r="19" ht="30" customHeight="1">
      <c r="A19" s="4" t="inlineStr">
        <is>
          <t>Week ending</t>
        </is>
      </c>
      <c r="B19" s="4" t="inlineStr">
        <is>
          <t>Opened</t>
        </is>
      </c>
      <c r="C19" s="4" t="inlineStr">
        <is>
          <t>Resolved</t>
        </is>
      </c>
      <c r="D19" s="4" t="inlineStr">
        <is>
          <t>Breaches</t>
        </is>
      </c>
      <c r="E19" s="4" t="inlineStr">
        <is>
          <t>SLA compliance</t>
        </is>
      </c>
      <c r="F19" s="4" t="inlineStr">
        <is>
          <t>MTTR (h)</t>
        </is>
      </c>
      <c r="G19" s="4" t="inlineStr">
        <is>
          <t>p50 (h)</t>
        </is>
      </c>
      <c r="H19" s="4" t="inlineStr">
        <is>
          <t>p90 (h)</t>
        </is>
      </c>
      <c r="I19" s="4" t="inlineStr">
        <is>
          <t>Open backlog</t>
        </is>
      </c>
      <c r="J19" s="4" t="inlineStr">
        <is>
          <t>Past due</t>
        </is>
      </c>
      <c r="K19" s="4" t="inlineStr">
        <is>
          <t>High-risk open</t>
        </is>
      </c>
    </row>
    <row r="20">
      <c r="A20" s="14" t="n">
        <v>46117</v>
      </c>
      <c r="B20" s="6" t="n">
        <v>3141</v>
      </c>
      <c r="C20" s="6" t="n">
        <v>2913</v>
      </c>
      <c r="D20" s="6" t="n">
        <v>653</v>
      </c>
      <c r="E20" s="9">
        <f>IFERROR(1-D20/C20,"")</f>
        <v/>
      </c>
      <c r="F20" s="11" t="n">
        <v>26.31</v>
      </c>
      <c r="G20" s="11" t="n">
        <v>14.2</v>
      </c>
      <c r="H20" s="11" t="n">
        <v>59.11</v>
      </c>
      <c r="I20" s="6" t="n">
        <v>488</v>
      </c>
      <c r="J20" s="6" t="n">
        <v>141</v>
      </c>
      <c r="K20" s="6" t="n">
        <v>292</v>
      </c>
    </row>
    <row r="21">
      <c r="A21" s="14" t="n">
        <v>46124</v>
      </c>
      <c r="B21" s="6" t="n">
        <v>1893</v>
      </c>
      <c r="C21" s="6" t="n">
        <v>2065</v>
      </c>
      <c r="D21" s="6" t="n">
        <v>431</v>
      </c>
      <c r="E21" s="9">
        <f>IFERROR(1-D21/C21,"")</f>
        <v/>
      </c>
      <c r="F21" s="11" t="n">
        <v>39.51</v>
      </c>
      <c r="G21" s="11" t="n">
        <v>22.4</v>
      </c>
      <c r="H21" s="11" t="n">
        <v>95.48999999999999</v>
      </c>
      <c r="I21" s="6" t="n">
        <v>309</v>
      </c>
      <c r="J21" s="6" t="n">
        <v>82</v>
      </c>
      <c r="K21" s="6" t="n">
        <v>121</v>
      </c>
    </row>
    <row r="22">
      <c r="A22" s="14" t="n">
        <v>46131</v>
      </c>
      <c r="B22" s="6" t="n">
        <v>1973</v>
      </c>
      <c r="C22" s="6" t="n">
        <v>1975</v>
      </c>
      <c r="D22" s="6" t="n">
        <v>278</v>
      </c>
      <c r="E22" s="9">
        <f>IFERROR(1-D22/C22,"")</f>
        <v/>
      </c>
      <c r="F22" s="11" t="n">
        <v>33.7</v>
      </c>
      <c r="G22" s="11" t="n">
        <v>18.26</v>
      </c>
      <c r="H22" s="11" t="n">
        <v>81.17</v>
      </c>
      <c r="I22" s="6" t="n">
        <v>306</v>
      </c>
      <c r="J22" s="6" t="n">
        <v>67</v>
      </c>
      <c r="K22" s="6" t="n">
        <v>112</v>
      </c>
    </row>
    <row r="23">
      <c r="A23" s="14" t="n">
        <v>46138</v>
      </c>
      <c r="B23" s="6" t="n">
        <v>1978</v>
      </c>
      <c r="C23" s="6" t="n">
        <v>2014</v>
      </c>
      <c r="D23" s="6" t="n">
        <v>274</v>
      </c>
      <c r="E23" s="9">
        <f>IFERROR(1-D23/C23,"")</f>
        <v/>
      </c>
      <c r="F23" s="11" t="n">
        <v>32.6</v>
      </c>
      <c r="G23" s="11" t="n">
        <v>18.25</v>
      </c>
      <c r="H23" s="11" t="n">
        <v>77.03</v>
      </c>
      <c r="I23" s="6" t="n">
        <v>269</v>
      </c>
      <c r="J23" s="6" t="n">
        <v>59</v>
      </c>
      <c r="K23" s="6" t="n">
        <v>88</v>
      </c>
    </row>
    <row r="24">
      <c r="A24" s="14" t="n">
        <v>46145</v>
      </c>
      <c r="B24" s="6" t="n">
        <v>2024</v>
      </c>
      <c r="C24" s="6" t="n">
        <v>2006</v>
      </c>
      <c r="D24" s="6" t="n">
        <v>258</v>
      </c>
      <c r="E24" s="9">
        <f>IFERROR(1-D24/C24,"")</f>
        <v/>
      </c>
      <c r="F24" s="11" t="n">
        <v>32.43</v>
      </c>
      <c r="G24" s="11" t="n">
        <v>17.68</v>
      </c>
      <c r="H24" s="11" t="n">
        <v>77.45999999999999</v>
      </c>
      <c r="I24" s="6" t="n">
        <v>288</v>
      </c>
      <c r="J24" s="6" t="n">
        <v>55</v>
      </c>
      <c r="K24" s="6" t="n">
        <v>113</v>
      </c>
    </row>
    <row r="25">
      <c r="A25" s="14" t="n">
        <v>46152</v>
      </c>
      <c r="B25" s="6" t="n">
        <v>1972</v>
      </c>
      <c r="C25" s="6" t="n">
        <v>1967</v>
      </c>
      <c r="D25" s="6" t="n">
        <v>258</v>
      </c>
      <c r="E25" s="9">
        <f>IFERROR(1-D25/C25,"")</f>
        <v/>
      </c>
      <c r="F25" s="11" t="n">
        <v>32.94</v>
      </c>
      <c r="G25" s="11" t="n">
        <v>18.48</v>
      </c>
      <c r="H25" s="11" t="n">
        <v>78.63</v>
      </c>
      <c r="I25" s="6" t="n">
        <v>295</v>
      </c>
      <c r="J25" s="6" t="n">
        <v>55</v>
      </c>
      <c r="K25" s="6" t="n">
        <v>113</v>
      </c>
    </row>
    <row r="26">
      <c r="A26" s="14" t="n">
        <v>46159</v>
      </c>
      <c r="B26" s="6" t="n">
        <v>2014</v>
      </c>
      <c r="C26" s="6" t="n">
        <v>2013</v>
      </c>
      <c r="D26" s="6" t="n">
        <v>258</v>
      </c>
      <c r="E26" s="9">
        <f>IFERROR(1-D26/C26,"")</f>
        <v/>
      </c>
      <c r="F26" s="11" t="n">
        <v>31.71</v>
      </c>
      <c r="G26" s="11" t="n">
        <v>18.74</v>
      </c>
      <c r="H26" s="11" t="n">
        <v>73.73999999999999</v>
      </c>
      <c r="I26" s="6" t="n">
        <v>294</v>
      </c>
      <c r="J26" s="6" t="n">
        <v>61</v>
      </c>
      <c r="K26" s="6" t="n">
        <v>111</v>
      </c>
    </row>
    <row r="27">
      <c r="A27" s="14" t="n">
        <v>46166</v>
      </c>
      <c r="B27" s="6" t="n">
        <v>1999</v>
      </c>
      <c r="C27" s="6" t="n">
        <v>2008</v>
      </c>
      <c r="D27" s="6" t="n">
        <v>259</v>
      </c>
      <c r="E27" s="9">
        <f>IFERROR(1-D27/C27,"")</f>
        <v/>
      </c>
      <c r="F27" s="11" t="n">
        <v>31.81</v>
      </c>
      <c r="G27" s="11" t="n">
        <v>17.6</v>
      </c>
      <c r="H27" s="11" t="n">
        <v>74.73999999999999</v>
      </c>
      <c r="I27" s="6" t="n">
        <v>285</v>
      </c>
      <c r="J27" s="6" t="n">
        <v>64</v>
      </c>
      <c r="K27" s="6" t="n">
        <v>93</v>
      </c>
    </row>
    <row r="28">
      <c r="A28" s="14" t="n">
        <v>46173</v>
      </c>
      <c r="B28" s="6" t="n">
        <v>1970</v>
      </c>
      <c r="C28" s="6" t="n">
        <v>1994</v>
      </c>
      <c r="D28" s="6" t="n">
        <v>252</v>
      </c>
      <c r="E28" s="9">
        <f>IFERROR(1-D28/C28,"")</f>
        <v/>
      </c>
      <c r="F28" s="11" t="n">
        <v>32.69</v>
      </c>
      <c r="G28" s="11" t="n">
        <v>18.35</v>
      </c>
      <c r="H28" s="11" t="n">
        <v>77.55</v>
      </c>
      <c r="I28" s="6" t="n">
        <v>262</v>
      </c>
      <c r="J28" s="6" t="n">
        <v>72</v>
      </c>
      <c r="K28" s="6" t="n">
        <v>77</v>
      </c>
    </row>
    <row r="29">
      <c r="A29" s="14" t="n">
        <v>46180</v>
      </c>
      <c r="B29" s="6" t="n">
        <v>1923</v>
      </c>
      <c r="C29" s="6" t="n">
        <v>1924</v>
      </c>
      <c r="D29" s="6" t="n">
        <v>261</v>
      </c>
      <c r="E29" s="9">
        <f>IFERROR(1-D29/C29,"")</f>
        <v/>
      </c>
      <c r="F29" s="11" t="n">
        <v>31.49</v>
      </c>
      <c r="G29" s="11" t="n">
        <v>18.24</v>
      </c>
      <c r="H29" s="11" t="n">
        <v>75.39</v>
      </c>
      <c r="I29" s="6" t="n">
        <v>259</v>
      </c>
      <c r="J29" s="6" t="n">
        <v>54</v>
      </c>
      <c r="K29" s="6" t="n">
        <v>78</v>
      </c>
    </row>
    <row r="30">
      <c r="A30" s="14" t="n">
        <v>46187</v>
      </c>
      <c r="B30" s="6" t="n">
        <v>2018</v>
      </c>
      <c r="C30" s="6" t="n">
        <v>1996</v>
      </c>
      <c r="D30" s="6" t="n">
        <v>254</v>
      </c>
      <c r="E30" s="9">
        <f>IFERROR(1-D30/C30,"")</f>
        <v/>
      </c>
      <c r="F30" s="11" t="n">
        <v>31.26</v>
      </c>
      <c r="G30" s="11" t="n">
        <v>17.66</v>
      </c>
      <c r="H30" s="11" t="n">
        <v>72.53</v>
      </c>
      <c r="I30" s="6" t="n">
        <v>285</v>
      </c>
      <c r="J30" s="6" t="n">
        <v>63</v>
      </c>
      <c r="K30" s="6" t="n">
        <v>110</v>
      </c>
    </row>
    <row r="31">
      <c r="A31" s="14" t="n">
        <v>46194</v>
      </c>
      <c r="B31" s="6" t="n">
        <v>1922</v>
      </c>
      <c r="C31" s="6" t="n">
        <v>1930</v>
      </c>
      <c r="D31" s="6" t="n">
        <v>245</v>
      </c>
      <c r="E31" s="9">
        <f>IFERROR(1-D31/C31,"")</f>
        <v/>
      </c>
      <c r="F31" s="11" t="n">
        <v>33.47</v>
      </c>
      <c r="G31" s="11" t="n">
        <v>18.13</v>
      </c>
      <c r="H31" s="11" t="n">
        <v>79.37</v>
      </c>
      <c r="I31" s="6" t="n">
        <v>277</v>
      </c>
      <c r="J31" s="6" t="n">
        <v>61</v>
      </c>
      <c r="K31" s="6" t="n">
        <v>101</v>
      </c>
    </row>
    <row r="32">
      <c r="A32" s="15" t="n">
        <v>46201</v>
      </c>
      <c r="B32" s="16" t="n">
        <v>1931</v>
      </c>
      <c r="C32" s="16" t="n">
        <v>1917</v>
      </c>
      <c r="D32" s="16" t="n">
        <v>255</v>
      </c>
      <c r="E32" s="17">
        <f>IFERROR(1-D32/C32,"")</f>
        <v/>
      </c>
      <c r="F32" s="18" t="n">
        <v>32.54</v>
      </c>
      <c r="G32" s="18" t="n">
        <v>17.6</v>
      </c>
      <c r="H32" s="18" t="n">
        <v>78.84999999999999</v>
      </c>
      <c r="I32" s="16" t="n">
        <v>286</v>
      </c>
      <c r="J32" s="16" t="n">
        <v>62</v>
      </c>
      <c r="K32" s="16" t="n">
        <v>92</v>
      </c>
    </row>
  </sheetData>
  <conditionalFormatting sqref="D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D8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D9">
    <cfRule type="cellIs" priority="9" operator="greaterThan" dxfId="1">
      <formula>0</formula>
    </cfRule>
    <cfRule type="cellIs" priority="10" operator="lessThan" dxfId="0">
      <formula>0</formula>
    </cfRule>
  </conditionalFormatting>
  <conditionalFormatting sqref="F9">
    <cfRule type="cellIs" priority="11" operator="greaterThan" dxfId="1">
      <formula>0</formula>
    </cfRule>
    <cfRule type="cellIs" priority="12" operator="lessThan" dxfId="0">
      <formula>0</formula>
    </cfRule>
  </conditionalFormatting>
  <conditionalFormatting sqref="D10">
    <cfRule type="cellIs" priority="13" operator="greaterThan" dxfId="1">
      <formula>0</formula>
    </cfRule>
    <cfRule type="cellIs" priority="14" operator="lessThan" dxfId="0">
      <formula>0</formula>
    </cfRule>
  </conditionalFormatting>
  <conditionalFormatting sqref="F10">
    <cfRule type="cellIs" priority="15" operator="greaterThan" dxfId="1">
      <formula>0</formula>
    </cfRule>
    <cfRule type="cellIs" priority="16" operator="lessThan" dxfId="0">
      <formula>0</formula>
    </cfRule>
  </conditionalFormatting>
  <conditionalFormatting sqref="D11">
    <cfRule type="cellIs" priority="17" operator="greaterThan" dxfId="1">
      <formula>0</formula>
    </cfRule>
    <cfRule type="cellIs" priority="18" operator="lessThan" dxfId="0">
      <formula>0</formula>
    </cfRule>
  </conditionalFormatting>
  <conditionalFormatting sqref="F11">
    <cfRule type="cellIs" priority="19" operator="greaterThan" dxfId="1">
      <formula>0</formula>
    </cfRule>
    <cfRule type="cellIs" priority="20" operator="lessThan" dxfId="0">
      <formula>0</formula>
    </cfRule>
  </conditionalFormatting>
  <conditionalFormatting sqref="D12">
    <cfRule type="cellIs" priority="21" operator="greaterThan" dxfId="1">
      <formula>0</formula>
    </cfRule>
    <cfRule type="cellIs" priority="22" operator="lessThan" dxfId="0">
      <formula>0</formula>
    </cfRule>
  </conditionalFormatting>
  <conditionalFormatting sqref="F12">
    <cfRule type="cellIs" priority="23" operator="greaterThan" dxfId="1">
      <formula>0</formula>
    </cfRule>
    <cfRule type="cellIs" priority="24" operator="lessThan" dxfId="0">
      <formula>0</formula>
    </cfRule>
  </conditionalFormatting>
  <conditionalFormatting sqref="D13">
    <cfRule type="cellIs" priority="25" operator="greaterThan" dxfId="1">
      <formula>0</formula>
    </cfRule>
    <cfRule type="cellIs" priority="26" operator="lessThan" dxfId="0">
      <formula>0</formula>
    </cfRule>
  </conditionalFormatting>
  <conditionalFormatting sqref="F13">
    <cfRule type="cellIs" priority="27" operator="greaterThan" dxfId="1">
      <formula>0</formula>
    </cfRule>
    <cfRule type="cellIs" priority="28" operator="lessThan" dxfId="0">
      <formula>0</formula>
    </cfRule>
  </conditionalFormatting>
  <conditionalFormatting sqref="D14">
    <cfRule type="cellIs" priority="29" operator="greaterThan" dxfId="1">
      <formula>0</formula>
    </cfRule>
    <cfRule type="cellIs" priority="30" operator="lessThan" dxfId="0">
      <formula>0</formula>
    </cfRule>
  </conditionalFormatting>
  <conditionalFormatting sqref="F14">
    <cfRule type="cellIs" priority="31" operator="greaterThan" dxfId="1">
      <formula>0</formula>
    </cfRule>
    <cfRule type="cellIs" priority="32" operator="lessThan" dxfId="0">
      <formula>0</formula>
    </cfRule>
  </conditionalFormatting>
  <conditionalFormatting sqref="D15">
    <cfRule type="cellIs" priority="33" operator="greaterThan" dxfId="1">
      <formula>0</formula>
    </cfRule>
    <cfRule type="cellIs" priority="34" operator="lessThan" dxfId="0">
      <formula>0</formula>
    </cfRule>
  </conditionalFormatting>
  <conditionalFormatting sqref="F15">
    <cfRule type="cellIs" priority="35" operator="greaterThan" dxfId="1">
      <formula>0</formula>
    </cfRule>
    <cfRule type="cellIs" priority="36" operator="lessThan" dxfId="0">
      <formula>0</formula>
    </cfRule>
  </conditionalFormatting>
  <conditionalFormatting sqref="E20:E3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32">
    <cfRule type="dataBar" priority="38">
      <dataBar>
        <cfvo type="min"/>
        <cfvo type="max"/>
        <color rgb="005B9BD5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0" customWidth="1" min="2" max="2"/>
    <col width="20" customWidth="1" min="3" max="3"/>
    <col width="9" customWidth="1" min="4" max="4"/>
    <col width="9" customWidth="1" min="5" max="5"/>
    <col width="9" customWidth="1" min="6" max="6"/>
    <col width="12" customWidth="1" min="7" max="7"/>
    <col width="12" customWidth="1" min="8" max="8"/>
    <col width="11" customWidth="1" min="9" max="9"/>
    <col width="12" customWidth="1" min="10" max="10"/>
    <col width="11" customWidth="1" min="11" max="11"/>
    <col width="9" customWidth="1" min="12" max="12"/>
    <col width="14" customWidth="1" min="13" max="13"/>
  </cols>
  <sheetData>
    <row r="1">
      <c r="A1" s="1" t="inlineStr">
        <is>
          <t>By customer - week ending 2026-06-28</t>
        </is>
      </c>
    </row>
    <row r="2">
      <c r="A2" s="2" t="inlineStr">
        <is>
          <t>Opened, resolved and breaches for the week; backlog and the model's high-risk open tickets at 2026-06-29 00:00:00 UTC. Sorted by breaches.</t>
        </is>
      </c>
    </row>
    <row r="3">
      <c r="A3" s="3" t="inlineStr">
        <is>
          <t>SYNTHETIC DATA - generated by slawatch; no real customers, sites or tickets</t>
        </is>
      </c>
    </row>
    <row r="5" ht="30" customHeight="1">
      <c r="A5" s="4" t="inlineStr">
        <is>
          <t>Customer</t>
        </is>
      </c>
      <c r="B5" s="4" t="inlineStr">
        <is>
          <t>Tier</t>
        </is>
      </c>
      <c r="C5" s="4" t="inlineStr">
        <is>
          <t>Industry</t>
        </is>
      </c>
      <c r="D5" s="4" t="inlineStr">
        <is>
          <t>Opened</t>
        </is>
      </c>
      <c r="E5" s="4" t="inlineStr">
        <is>
          <t>Resolved</t>
        </is>
      </c>
      <c r="F5" s="4" t="inlineStr">
        <is>
          <t>Breaches</t>
        </is>
      </c>
      <c r="G5" s="4" t="inlineStr">
        <is>
          <t>SLA compliance</t>
        </is>
      </c>
      <c r="H5" s="4" t="inlineStr">
        <is>
          <t>Prior week compliance</t>
        </is>
      </c>
      <c r="I5" s="4" t="inlineStr">
        <is>
          <t>Change (pp)</t>
        </is>
      </c>
      <c r="J5" s="4" t="inlineStr">
        <is>
          <t>p50 resolution (h)</t>
        </is>
      </c>
      <c r="K5" s="4" t="inlineStr">
        <is>
          <t>Open backlog</t>
        </is>
      </c>
      <c r="L5" s="4" t="inlineStr">
        <is>
          <t>Past due</t>
        </is>
      </c>
      <c r="M5" s="4" t="inlineStr">
        <is>
          <t>High-risk open (model)</t>
        </is>
      </c>
    </row>
    <row r="6">
      <c r="A6" s="19" t="inlineStr">
        <is>
          <t>Meridian Distribution</t>
        </is>
      </c>
      <c r="B6" s="19" t="inlineStr">
        <is>
          <t>Platinum</t>
        </is>
      </c>
      <c r="C6" s="19" t="inlineStr">
        <is>
          <t>Logistics</t>
        </is>
      </c>
      <c r="D6" s="6" t="n">
        <v>124</v>
      </c>
      <c r="E6" s="6" t="n">
        <v>122</v>
      </c>
      <c r="F6" s="6" t="n">
        <v>17</v>
      </c>
      <c r="G6" s="9">
        <f>IFERROR(1-F6/E6,"")</f>
        <v/>
      </c>
      <c r="H6" s="9" t="n">
        <v>0.899</v>
      </c>
      <c r="I6" s="10">
        <f>IFERROR((G6-H6)*100,"")</f>
        <v/>
      </c>
      <c r="J6" s="11" t="n">
        <v>8.550000000000001</v>
      </c>
      <c r="K6" s="6" t="n">
        <v>8</v>
      </c>
      <c r="L6" s="6" t="n">
        <v>0</v>
      </c>
      <c r="M6" s="6" t="n">
        <v>1</v>
      </c>
    </row>
    <row r="7">
      <c r="A7" s="19" t="inlineStr">
        <is>
          <t>Evergreen Stores Ltd.</t>
        </is>
      </c>
      <c r="B7" s="19" t="inlineStr">
        <is>
          <t>Platinum</t>
        </is>
      </c>
      <c r="C7" s="19" t="inlineStr">
        <is>
          <t>Retail</t>
        </is>
      </c>
      <c r="D7" s="6" t="n">
        <v>66</v>
      </c>
      <c r="E7" s="6" t="n">
        <v>69</v>
      </c>
      <c r="F7" s="6" t="n">
        <v>17</v>
      </c>
      <c r="G7" s="9">
        <f>IFERROR(1-F7/E7,"")</f>
        <v/>
      </c>
      <c r="H7" s="9" t="n">
        <v>0.7971</v>
      </c>
      <c r="I7" s="10">
        <f>IFERROR((G7-H7)*100,"")</f>
        <v/>
      </c>
      <c r="J7" s="11" t="n">
        <v>12.91</v>
      </c>
      <c r="K7" s="6" t="n">
        <v>7</v>
      </c>
      <c r="L7" s="6" t="n">
        <v>1</v>
      </c>
      <c r="M7" s="6" t="n">
        <v>4</v>
      </c>
    </row>
    <row r="8">
      <c r="A8" s="19" t="inlineStr">
        <is>
          <t>Stonebridge Regional Authority</t>
        </is>
      </c>
      <c r="B8" s="19" t="inlineStr">
        <is>
          <t>Gold</t>
        </is>
      </c>
      <c r="C8" s="19" t="inlineStr">
        <is>
          <t>Public Sector</t>
        </is>
      </c>
      <c r="D8" s="6" t="n">
        <v>72</v>
      </c>
      <c r="E8" s="6" t="n">
        <v>76</v>
      </c>
      <c r="F8" s="6" t="n">
        <v>16</v>
      </c>
      <c r="G8" s="9">
        <f>IFERROR(1-F8/E8,"")</f>
        <v/>
      </c>
      <c r="H8" s="9" t="n">
        <v>0.8905999999999999</v>
      </c>
      <c r="I8" s="10">
        <f>IFERROR((G8-H8)*100,"")</f>
        <v/>
      </c>
      <c r="J8" s="11" t="n">
        <v>27.13</v>
      </c>
      <c r="K8" s="6" t="n">
        <v>13</v>
      </c>
      <c r="L8" s="6" t="n">
        <v>3</v>
      </c>
      <c r="M8" s="6" t="n">
        <v>4</v>
      </c>
    </row>
    <row r="9">
      <c r="A9" s="19" t="inlineStr">
        <is>
          <t>Glacier Retail Group</t>
        </is>
      </c>
      <c r="B9" s="19" t="inlineStr">
        <is>
          <t>Gold</t>
        </is>
      </c>
      <c r="C9" s="19" t="inlineStr">
        <is>
          <t>Retail</t>
        </is>
      </c>
      <c r="D9" s="6" t="n">
        <v>71</v>
      </c>
      <c r="E9" s="6" t="n">
        <v>72</v>
      </c>
      <c r="F9" s="6" t="n">
        <v>16</v>
      </c>
      <c r="G9" s="9">
        <f>IFERROR(1-F9/E9,"")</f>
        <v/>
      </c>
      <c r="H9" s="9" t="n">
        <v>0.9048</v>
      </c>
      <c r="I9" s="10">
        <f>IFERROR((G9-H9)*100,"")</f>
        <v/>
      </c>
      <c r="J9" s="11" t="n">
        <v>18.88</v>
      </c>
      <c r="K9" s="6" t="n">
        <v>7</v>
      </c>
      <c r="L9" s="6" t="n">
        <v>2</v>
      </c>
      <c r="M9" s="6" t="n">
        <v>5</v>
      </c>
    </row>
    <row r="10">
      <c r="A10" s="19" t="inlineStr">
        <is>
          <t>Riverbend Polytechnic</t>
        </is>
      </c>
      <c r="B10" s="19" t="inlineStr">
        <is>
          <t>Platinum</t>
        </is>
      </c>
      <c r="C10" s="19" t="inlineStr">
        <is>
          <t>Education</t>
        </is>
      </c>
      <c r="D10" s="6" t="n">
        <v>89</v>
      </c>
      <c r="E10" s="6" t="n">
        <v>89</v>
      </c>
      <c r="F10" s="6" t="n">
        <v>15</v>
      </c>
      <c r="G10" s="9">
        <f>IFERROR(1-F10/E10,"")</f>
        <v/>
      </c>
      <c r="H10" s="9" t="n">
        <v>0.7685</v>
      </c>
      <c r="I10" s="10">
        <f>IFERROR((G10-H10)*100,"")</f>
        <v/>
      </c>
      <c r="J10" s="11" t="n">
        <v>13.36</v>
      </c>
      <c r="K10" s="6" t="n">
        <v>8</v>
      </c>
      <c r="L10" s="6" t="n">
        <v>4</v>
      </c>
      <c r="M10" s="6" t="n">
        <v>2</v>
      </c>
    </row>
    <row r="11">
      <c r="A11" s="19" t="inlineStr">
        <is>
          <t>Juniper Polytechnic</t>
        </is>
      </c>
      <c r="B11" s="19" t="inlineStr">
        <is>
          <t>Platinum</t>
        </is>
      </c>
      <c r="C11" s="19" t="inlineStr">
        <is>
          <t>Education</t>
        </is>
      </c>
      <c r="D11" s="6" t="n">
        <v>100</v>
      </c>
      <c r="E11" s="6" t="n">
        <v>99</v>
      </c>
      <c r="F11" s="6" t="n">
        <v>14</v>
      </c>
      <c r="G11" s="9">
        <f>IFERROR(1-F11/E11,"")</f>
        <v/>
      </c>
      <c r="H11" s="9" t="n">
        <v>0.8333</v>
      </c>
      <c r="I11" s="10">
        <f>IFERROR((G11-H11)*100,"")</f>
        <v/>
      </c>
      <c r="J11" s="11" t="n">
        <v>20.15</v>
      </c>
      <c r="K11" s="6" t="n">
        <v>20</v>
      </c>
      <c r="L11" s="6" t="n">
        <v>6</v>
      </c>
      <c r="M11" s="6" t="n">
        <v>8</v>
      </c>
    </row>
    <row r="12">
      <c r="A12" s="19" t="inlineStr">
        <is>
          <t>Cascadia Academy</t>
        </is>
      </c>
      <c r="B12" s="19" t="inlineStr">
        <is>
          <t>Gold</t>
        </is>
      </c>
      <c r="C12" s="19" t="inlineStr">
        <is>
          <t>Education</t>
        </is>
      </c>
      <c r="D12" s="6" t="n">
        <v>79</v>
      </c>
      <c r="E12" s="6" t="n">
        <v>80</v>
      </c>
      <c r="F12" s="6" t="n">
        <v>14</v>
      </c>
      <c r="G12" s="9">
        <f>IFERROR(1-F12/E12,"")</f>
        <v/>
      </c>
      <c r="H12" s="9" t="n">
        <v>0.7887</v>
      </c>
      <c r="I12" s="10">
        <f>IFERROR((G12-H12)*100,"")</f>
        <v/>
      </c>
      <c r="J12" s="11" t="n">
        <v>19.88</v>
      </c>
      <c r="K12" s="6" t="n">
        <v>12</v>
      </c>
      <c r="L12" s="6" t="n">
        <v>5</v>
      </c>
      <c r="M12" s="6" t="n">
        <v>3</v>
      </c>
    </row>
    <row r="13">
      <c r="A13" s="19" t="inlineStr">
        <is>
          <t>Pioneer Freight Lines</t>
        </is>
      </c>
      <c r="B13" s="19" t="inlineStr">
        <is>
          <t>Silver</t>
        </is>
      </c>
      <c r="C13" s="19" t="inlineStr">
        <is>
          <t>Logistics</t>
        </is>
      </c>
      <c r="D13" s="6" t="n">
        <v>42</v>
      </c>
      <c r="E13" s="6" t="n">
        <v>44</v>
      </c>
      <c r="F13" s="6" t="n">
        <v>14</v>
      </c>
      <c r="G13" s="9">
        <f>IFERROR(1-F13/E13,"")</f>
        <v/>
      </c>
      <c r="H13" s="9" t="n">
        <v>0.7105</v>
      </c>
      <c r="I13" s="10">
        <f>IFERROR((G13-H13)*100,"")</f>
        <v/>
      </c>
      <c r="J13" s="11" t="n">
        <v>46.13</v>
      </c>
      <c r="K13" s="6" t="n">
        <v>16</v>
      </c>
      <c r="L13" s="6" t="n">
        <v>3</v>
      </c>
      <c r="M13" s="6" t="n">
        <v>13</v>
      </c>
    </row>
    <row r="14">
      <c r="A14" s="19" t="inlineStr">
        <is>
          <t>Granite Power Co-op</t>
        </is>
      </c>
      <c r="B14" s="19" t="inlineStr">
        <is>
          <t>Gold</t>
        </is>
      </c>
      <c r="C14" s="19" t="inlineStr">
        <is>
          <t>Energy</t>
        </is>
      </c>
      <c r="D14" s="6" t="n">
        <v>56</v>
      </c>
      <c r="E14" s="6" t="n">
        <v>61</v>
      </c>
      <c r="F14" s="6" t="n">
        <v>11</v>
      </c>
      <c r="G14" s="9">
        <f>IFERROR(1-F14/E14,"")</f>
        <v/>
      </c>
      <c r="H14" s="9" t="n">
        <v>0.8784</v>
      </c>
      <c r="I14" s="10">
        <f>IFERROR((G14-H14)*100,"")</f>
        <v/>
      </c>
      <c r="J14" s="11" t="n">
        <v>18.39</v>
      </c>
      <c r="K14" s="6" t="n">
        <v>2</v>
      </c>
      <c r="L14" s="6" t="n">
        <v>0</v>
      </c>
      <c r="M14" s="6" t="n">
        <v>0</v>
      </c>
    </row>
    <row r="15">
      <c r="A15" s="19" t="inlineStr">
        <is>
          <t>Frontier Freight Lines</t>
        </is>
      </c>
      <c r="B15" s="19" t="inlineStr">
        <is>
          <t>Gold</t>
        </is>
      </c>
      <c r="C15" s="19" t="inlineStr">
        <is>
          <t>Logistics</t>
        </is>
      </c>
      <c r="D15" s="6" t="n">
        <v>81</v>
      </c>
      <c r="E15" s="6" t="n">
        <v>81</v>
      </c>
      <c r="F15" s="6" t="n">
        <v>10</v>
      </c>
      <c r="G15" s="9">
        <f>IFERROR(1-F15/E15,"")</f>
        <v/>
      </c>
      <c r="H15" s="9" t="n">
        <v>0.8902</v>
      </c>
      <c r="I15" s="10">
        <f>IFERROR((G15-H15)*100,"")</f>
        <v/>
      </c>
      <c r="J15" s="11" t="n">
        <v>19.8</v>
      </c>
      <c r="K15" s="6" t="n">
        <v>11</v>
      </c>
      <c r="L15" s="6" t="n">
        <v>3</v>
      </c>
      <c r="M15" s="6" t="n">
        <v>3</v>
      </c>
    </row>
    <row r="16">
      <c r="A16" s="19" t="inlineStr">
        <is>
          <t>Highland College</t>
        </is>
      </c>
      <c r="B16" s="19" t="inlineStr">
        <is>
          <t>Platinum</t>
        </is>
      </c>
      <c r="C16" s="19" t="inlineStr">
        <is>
          <t>Education</t>
        </is>
      </c>
      <c r="D16" s="6" t="n">
        <v>91</v>
      </c>
      <c r="E16" s="6" t="n">
        <v>90</v>
      </c>
      <c r="F16" s="6" t="n">
        <v>8</v>
      </c>
      <c r="G16" s="9">
        <f>IFERROR(1-F16/E16,"")</f>
        <v/>
      </c>
      <c r="H16" s="9" t="n">
        <v>0.9247</v>
      </c>
      <c r="I16" s="10">
        <f>IFERROR((G16-H16)*100,"")</f>
        <v/>
      </c>
      <c r="J16" s="11" t="n">
        <v>10.09</v>
      </c>
      <c r="K16" s="6" t="n">
        <v>4</v>
      </c>
      <c r="L16" s="6" t="n">
        <v>2</v>
      </c>
      <c r="M16" s="6" t="n">
        <v>1</v>
      </c>
    </row>
    <row r="17">
      <c r="A17" s="19" t="inlineStr">
        <is>
          <t>Harbour Renewables</t>
        </is>
      </c>
      <c r="B17" s="19" t="inlineStr">
        <is>
          <t>Silver</t>
        </is>
      </c>
      <c r="C17" s="19" t="inlineStr">
        <is>
          <t>Energy</t>
        </is>
      </c>
      <c r="D17" s="6" t="n">
        <v>26</v>
      </c>
      <c r="E17" s="6" t="n">
        <v>30</v>
      </c>
      <c r="F17" s="6" t="n">
        <v>8</v>
      </c>
      <c r="G17" s="9">
        <f>IFERROR(1-F17/E17,"")</f>
        <v/>
      </c>
      <c r="H17" s="9" t="n">
        <v>0.8286</v>
      </c>
      <c r="I17" s="10">
        <f>IFERROR((G17-H17)*100,"")</f>
        <v/>
      </c>
      <c r="J17" s="11" t="n">
        <v>22.72</v>
      </c>
      <c r="K17" s="6" t="n">
        <v>5</v>
      </c>
      <c r="L17" s="6" t="n">
        <v>0</v>
      </c>
      <c r="M17" s="6" t="n">
        <v>4</v>
      </c>
    </row>
    <row r="18">
      <c r="A18" s="19" t="inlineStr">
        <is>
          <t>Summit Retail Group</t>
        </is>
      </c>
      <c r="B18" s="19" t="inlineStr">
        <is>
          <t>Platinum</t>
        </is>
      </c>
      <c r="C18" s="19" t="inlineStr">
        <is>
          <t>Retail</t>
        </is>
      </c>
      <c r="D18" s="6" t="n">
        <v>109</v>
      </c>
      <c r="E18" s="6" t="n">
        <v>112</v>
      </c>
      <c r="F18" s="6" t="n">
        <v>7</v>
      </c>
      <c r="G18" s="9">
        <f>IFERROR(1-F18/E18,"")</f>
        <v/>
      </c>
      <c r="H18" s="9" t="n">
        <v>0.9626</v>
      </c>
      <c r="I18" s="10">
        <f>IFERROR((G18-H18)*100,"")</f>
        <v/>
      </c>
      <c r="J18" s="11" t="n">
        <v>7.81</v>
      </c>
      <c r="K18" s="6" t="n">
        <v>4</v>
      </c>
      <c r="L18" s="6" t="n">
        <v>1</v>
      </c>
      <c r="M18" s="6" t="n">
        <v>0</v>
      </c>
    </row>
    <row r="19">
      <c r="A19" s="19" t="inlineStr">
        <is>
          <t>Lighthouse Manufacturing</t>
        </is>
      </c>
      <c r="B19" s="19" t="inlineStr">
        <is>
          <t>Gold</t>
        </is>
      </c>
      <c r="C19" s="19" t="inlineStr">
        <is>
          <t>Manufacturing</t>
        </is>
      </c>
      <c r="D19" s="6" t="n">
        <v>58</v>
      </c>
      <c r="E19" s="6" t="n">
        <v>63</v>
      </c>
      <c r="F19" s="6" t="n">
        <v>7</v>
      </c>
      <c r="G19" s="9">
        <f>IFERROR(1-F19/E19,"")</f>
        <v/>
      </c>
      <c r="H19" s="9" t="n">
        <v>0.9143</v>
      </c>
      <c r="I19" s="10">
        <f>IFERROR((G19-H19)*100,"")</f>
        <v/>
      </c>
      <c r="J19" s="11" t="n">
        <v>18.69</v>
      </c>
      <c r="K19" s="6" t="n">
        <v>4</v>
      </c>
      <c r="L19" s="6" t="n">
        <v>0</v>
      </c>
      <c r="M19" s="6" t="n">
        <v>4</v>
      </c>
    </row>
    <row r="20">
      <c r="A20" s="19" t="inlineStr">
        <is>
          <t>Keystone Distribution</t>
        </is>
      </c>
      <c r="B20" s="19" t="inlineStr">
        <is>
          <t>Gold</t>
        </is>
      </c>
      <c r="C20" s="19" t="inlineStr">
        <is>
          <t>Logistics</t>
        </is>
      </c>
      <c r="D20" s="6" t="n">
        <v>74</v>
      </c>
      <c r="E20" s="6" t="n">
        <v>74</v>
      </c>
      <c r="F20" s="6" t="n">
        <v>6</v>
      </c>
      <c r="G20" s="9">
        <f>IFERROR(1-F20/E20,"")</f>
        <v/>
      </c>
      <c r="H20" s="9" t="n">
        <v>0.8462</v>
      </c>
      <c r="I20" s="10">
        <f>IFERROR((G20-H20)*100,"")</f>
        <v/>
      </c>
      <c r="J20" s="11" t="n">
        <v>16.48</v>
      </c>
      <c r="K20" s="6" t="n">
        <v>5</v>
      </c>
      <c r="L20" s="6" t="n">
        <v>3</v>
      </c>
      <c r="M20" s="6" t="n">
        <v>0</v>
      </c>
    </row>
    <row r="21">
      <c r="A21" s="19" t="inlineStr">
        <is>
          <t>Boreal Retail Group</t>
        </is>
      </c>
      <c r="B21" s="19" t="inlineStr">
        <is>
          <t>Gold</t>
        </is>
      </c>
      <c r="C21" s="19" t="inlineStr">
        <is>
          <t>Retail</t>
        </is>
      </c>
      <c r="D21" s="6" t="n">
        <v>53</v>
      </c>
      <c r="E21" s="6" t="n">
        <v>54</v>
      </c>
      <c r="F21" s="6" t="n">
        <v>6</v>
      </c>
      <c r="G21" s="9">
        <f>IFERROR(1-F21/E21,"")</f>
        <v/>
      </c>
      <c r="H21" s="9" t="n">
        <v>0.8889</v>
      </c>
      <c r="I21" s="10">
        <f>IFERROR((G21-H21)*100,"")</f>
        <v/>
      </c>
      <c r="J21" s="11" t="n">
        <v>11.91</v>
      </c>
      <c r="K21" s="6" t="n">
        <v>6</v>
      </c>
      <c r="L21" s="6" t="n">
        <v>0</v>
      </c>
      <c r="M21" s="6" t="n">
        <v>1</v>
      </c>
    </row>
    <row r="22">
      <c r="A22" s="19" t="inlineStr">
        <is>
          <t>Tundra Fabrication</t>
        </is>
      </c>
      <c r="B22" s="19" t="inlineStr">
        <is>
          <t>Gold</t>
        </is>
      </c>
      <c r="C22" s="19" t="inlineStr">
        <is>
          <t>Manufacturing</t>
        </is>
      </c>
      <c r="D22" s="6" t="n">
        <v>49</v>
      </c>
      <c r="E22" s="6" t="n">
        <v>47</v>
      </c>
      <c r="F22" s="6" t="n">
        <v>6</v>
      </c>
      <c r="G22" s="9">
        <f>IFERROR(1-F22/E22,"")</f>
        <v/>
      </c>
      <c r="H22" s="9" t="n">
        <v>0.9189000000000001</v>
      </c>
      <c r="I22" s="10">
        <f>IFERROR((G22-H22)*100,"")</f>
        <v/>
      </c>
      <c r="J22" s="11" t="n">
        <v>20.29</v>
      </c>
      <c r="K22" s="6" t="n">
        <v>7</v>
      </c>
      <c r="L22" s="6" t="n">
        <v>0</v>
      </c>
      <c r="M22" s="6" t="n">
        <v>1</v>
      </c>
    </row>
    <row r="23">
      <c r="A23" s="19" t="inlineStr">
        <is>
          <t>Nordic School Board</t>
        </is>
      </c>
      <c r="B23" s="19" t="inlineStr">
        <is>
          <t>Gold</t>
        </is>
      </c>
      <c r="C23" s="19" t="inlineStr">
        <is>
          <t>Public Sector</t>
        </is>
      </c>
      <c r="D23" s="6" t="n">
        <v>48</v>
      </c>
      <c r="E23" s="6" t="n">
        <v>48</v>
      </c>
      <c r="F23" s="6" t="n">
        <v>6</v>
      </c>
      <c r="G23" s="9">
        <f>IFERROR(1-F23/E23,"")</f>
        <v/>
      </c>
      <c r="H23" s="9" t="n">
        <v>0.8367</v>
      </c>
      <c r="I23" s="10">
        <f>IFERROR((G23-H23)*100,"")</f>
        <v/>
      </c>
      <c r="J23" s="11" t="n">
        <v>12.95</v>
      </c>
      <c r="K23" s="6" t="n">
        <v>5</v>
      </c>
      <c r="L23" s="6" t="n">
        <v>0</v>
      </c>
      <c r="M23" s="6" t="n">
        <v>2</v>
      </c>
    </row>
    <row r="24">
      <c r="A24" s="19" t="inlineStr">
        <is>
          <t>Maple College</t>
        </is>
      </c>
      <c r="B24" s="19" t="inlineStr">
        <is>
          <t>Gold</t>
        </is>
      </c>
      <c r="C24" s="19" t="inlineStr">
        <is>
          <t>Education</t>
        </is>
      </c>
      <c r="D24" s="6" t="n">
        <v>40</v>
      </c>
      <c r="E24" s="6" t="n">
        <v>39</v>
      </c>
      <c r="F24" s="6" t="n">
        <v>6</v>
      </c>
      <c r="G24" s="9">
        <f>IFERROR(1-F24/E24,"")</f>
        <v/>
      </c>
      <c r="H24" s="9" t="n">
        <v>0.8333</v>
      </c>
      <c r="I24" s="10">
        <f>IFERROR((G24-H24)*100,"")</f>
        <v/>
      </c>
      <c r="J24" s="11" t="n">
        <v>12.7</v>
      </c>
      <c r="K24" s="6" t="n">
        <v>6</v>
      </c>
      <c r="L24" s="6" t="n">
        <v>1</v>
      </c>
      <c r="M24" s="6" t="n">
        <v>0</v>
      </c>
    </row>
    <row r="25">
      <c r="A25" s="19" t="inlineStr">
        <is>
          <t>Ashford Renewables</t>
        </is>
      </c>
      <c r="B25" s="19" t="inlineStr">
        <is>
          <t>Bronze</t>
        </is>
      </c>
      <c r="C25" s="19" t="inlineStr">
        <is>
          <t>Energy</t>
        </is>
      </c>
      <c r="D25" s="6" t="n">
        <v>16</v>
      </c>
      <c r="E25" s="6" t="n">
        <v>20</v>
      </c>
      <c r="F25" s="6" t="n">
        <v>6</v>
      </c>
      <c r="G25" s="9">
        <f>IFERROR(1-F25/E25,"")</f>
        <v/>
      </c>
      <c r="H25" s="9" t="n">
        <v>0.6875</v>
      </c>
      <c r="I25" s="10">
        <f>IFERROR((G25-H25)*100,"")</f>
        <v/>
      </c>
      <c r="J25" s="11" t="n">
        <v>46.21</v>
      </c>
      <c r="K25" s="6" t="n">
        <v>7</v>
      </c>
      <c r="L25" s="6" t="n">
        <v>3</v>
      </c>
      <c r="M25" s="6" t="n">
        <v>3</v>
      </c>
    </row>
    <row r="26">
      <c r="A26" s="19" t="inlineStr">
        <is>
          <t>Aurora Pharmacies</t>
        </is>
      </c>
      <c r="B26" s="19" t="inlineStr">
        <is>
          <t>Platinum</t>
        </is>
      </c>
      <c r="C26" s="19" t="inlineStr">
        <is>
          <t>Healthcare</t>
        </is>
      </c>
      <c r="D26" s="6" t="n">
        <v>101</v>
      </c>
      <c r="E26" s="6" t="n">
        <v>98</v>
      </c>
      <c r="F26" s="6" t="n">
        <v>5</v>
      </c>
      <c r="G26" s="9">
        <f>IFERROR(1-F26/E26,"")</f>
        <v/>
      </c>
      <c r="H26" s="9" t="n">
        <v>0.9457</v>
      </c>
      <c r="I26" s="10">
        <f>IFERROR((G26-H26)*100,"")</f>
        <v/>
      </c>
      <c r="J26" s="11" t="n">
        <v>9.41</v>
      </c>
      <c r="K26" s="6" t="n">
        <v>11</v>
      </c>
      <c r="L26" s="6" t="n">
        <v>0</v>
      </c>
      <c r="M26" s="6" t="n">
        <v>1</v>
      </c>
    </row>
    <row r="27">
      <c r="A27" s="19" t="inlineStr">
        <is>
          <t>Silverline Learning Trust</t>
        </is>
      </c>
      <c r="B27" s="19" t="inlineStr">
        <is>
          <t>Bronze</t>
        </is>
      </c>
      <c r="C27" s="19" t="inlineStr">
        <is>
          <t>Education</t>
        </is>
      </c>
      <c r="D27" s="6" t="n">
        <v>54</v>
      </c>
      <c r="E27" s="6" t="n">
        <v>50</v>
      </c>
      <c r="F27" s="6" t="n">
        <v>5</v>
      </c>
      <c r="G27" s="9">
        <f>IFERROR(1-F27/E27,"")</f>
        <v/>
      </c>
      <c r="H27" s="9" t="n">
        <v>0.8857</v>
      </c>
      <c r="I27" s="10">
        <f>IFERROR((G27-H27)*100,"")</f>
        <v/>
      </c>
      <c r="J27" s="11" t="n">
        <v>40.02</v>
      </c>
      <c r="K27" s="6" t="n">
        <v>17</v>
      </c>
      <c r="L27" s="6" t="n">
        <v>5</v>
      </c>
      <c r="M27" s="6" t="n">
        <v>3</v>
      </c>
    </row>
    <row r="28">
      <c r="A28" s="19" t="inlineStr">
        <is>
          <t>Heritage College</t>
        </is>
      </c>
      <c r="B28" s="19" t="inlineStr">
        <is>
          <t>Bronze</t>
        </is>
      </c>
      <c r="C28" s="19" t="inlineStr">
        <is>
          <t>Education</t>
        </is>
      </c>
      <c r="D28" s="6" t="n">
        <v>25</v>
      </c>
      <c r="E28" s="6" t="n">
        <v>19</v>
      </c>
      <c r="F28" s="6" t="n">
        <v>5</v>
      </c>
      <c r="G28" s="9">
        <f>IFERROR(1-F28/E28,"")</f>
        <v/>
      </c>
      <c r="H28" s="9" t="n">
        <v>0.92</v>
      </c>
      <c r="I28" s="10">
        <f>IFERROR((G28-H28)*100,"")</f>
        <v/>
      </c>
      <c r="J28" s="11" t="n">
        <v>64.53</v>
      </c>
      <c r="K28" s="6" t="n">
        <v>12</v>
      </c>
      <c r="L28" s="6" t="n">
        <v>3</v>
      </c>
      <c r="M28" s="6" t="n">
        <v>5</v>
      </c>
    </row>
    <row r="29">
      <c r="A29" s="19" t="inlineStr">
        <is>
          <t>Beacon Pipelines</t>
        </is>
      </c>
      <c r="B29" s="19" t="inlineStr">
        <is>
          <t>Bronze</t>
        </is>
      </c>
      <c r="C29" s="19" t="inlineStr">
        <is>
          <t>Energy</t>
        </is>
      </c>
      <c r="D29" s="6" t="n">
        <v>16</v>
      </c>
      <c r="E29" s="6" t="n">
        <v>16</v>
      </c>
      <c r="F29" s="6" t="n">
        <v>5</v>
      </c>
      <c r="G29" s="9">
        <f>IFERROR(1-F29/E29,"")</f>
        <v/>
      </c>
      <c r="H29" s="9" t="n">
        <v>0.5</v>
      </c>
      <c r="I29" s="10">
        <f>IFERROR((G29-H29)*100,"")</f>
        <v/>
      </c>
      <c r="J29" s="11" t="n">
        <v>52.22</v>
      </c>
      <c r="K29" s="6" t="n">
        <v>7</v>
      </c>
      <c r="L29" s="6" t="n">
        <v>1</v>
      </c>
      <c r="M29" s="6" t="n">
        <v>1</v>
      </c>
    </row>
    <row r="30">
      <c r="A30" s="19" t="inlineStr">
        <is>
          <t>Quarry Academy</t>
        </is>
      </c>
      <c r="B30" s="19" t="inlineStr">
        <is>
          <t>Silver</t>
        </is>
      </c>
      <c r="C30" s="19" t="inlineStr">
        <is>
          <t>Education</t>
        </is>
      </c>
      <c r="D30" s="6" t="n">
        <v>51</v>
      </c>
      <c r="E30" s="6" t="n">
        <v>55</v>
      </c>
      <c r="F30" s="6" t="n">
        <v>4</v>
      </c>
      <c r="G30" s="9">
        <f>IFERROR(1-F30/E30,"")</f>
        <v/>
      </c>
      <c r="H30" s="9" t="n">
        <v>0.9828</v>
      </c>
      <c r="I30" s="10">
        <f>IFERROR((G30-H30)*100,"")</f>
        <v/>
      </c>
      <c r="J30" s="11" t="n">
        <v>17.63</v>
      </c>
      <c r="K30" s="6" t="n">
        <v>6</v>
      </c>
      <c r="L30" s="6" t="n">
        <v>1</v>
      </c>
      <c r="M30" s="6" t="n">
        <v>1</v>
      </c>
    </row>
    <row r="31">
      <c r="A31" s="19" t="inlineStr">
        <is>
          <t>Trillium Medical Centres</t>
        </is>
      </c>
      <c r="B31" s="19" t="inlineStr">
        <is>
          <t>Bronze</t>
        </is>
      </c>
      <c r="C31" s="19" t="inlineStr">
        <is>
          <t>Healthcare</t>
        </is>
      </c>
      <c r="D31" s="6" t="n">
        <v>10</v>
      </c>
      <c r="E31" s="6" t="n">
        <v>13</v>
      </c>
      <c r="F31" s="6" t="n">
        <v>4</v>
      </c>
      <c r="G31" s="9">
        <f>IFERROR(1-F31/E31,"")</f>
        <v/>
      </c>
      <c r="H31" s="9" t="n">
        <v>0.8182</v>
      </c>
      <c r="I31" s="10">
        <f>IFERROR((G31-H31)*100,"")</f>
        <v/>
      </c>
      <c r="J31" s="11" t="n">
        <v>86.56</v>
      </c>
      <c r="K31" s="6" t="n">
        <v>6</v>
      </c>
      <c r="L31" s="6" t="n">
        <v>2</v>
      </c>
      <c r="M31" s="6" t="n">
        <v>4</v>
      </c>
    </row>
    <row r="32">
      <c r="A32" s="19" t="inlineStr">
        <is>
          <t>Cedar Marketplaces</t>
        </is>
      </c>
      <c r="B32" s="19" t="inlineStr">
        <is>
          <t>Bronze</t>
        </is>
      </c>
      <c r="C32" s="19" t="inlineStr">
        <is>
          <t>Retail</t>
        </is>
      </c>
      <c r="D32" s="6" t="n">
        <v>8</v>
      </c>
      <c r="E32" s="6" t="n">
        <v>8</v>
      </c>
      <c r="F32" s="6" t="n">
        <v>3</v>
      </c>
      <c r="G32" s="9">
        <f>IFERROR(1-F32/E32,"")</f>
        <v/>
      </c>
      <c r="H32" s="9" t="n">
        <v>0.75</v>
      </c>
      <c r="I32" s="10">
        <f>IFERROR((G32-H32)*100,"")</f>
        <v/>
      </c>
      <c r="J32" s="11" t="n">
        <v>77.84</v>
      </c>
      <c r="K32" s="6" t="n">
        <v>5</v>
      </c>
      <c r="L32" s="6" t="n">
        <v>2</v>
      </c>
      <c r="M32" s="6" t="n">
        <v>5</v>
      </c>
    </row>
    <row r="33">
      <c r="A33" s="19" t="inlineStr">
        <is>
          <t>Coastal Energy</t>
        </is>
      </c>
      <c r="B33" s="19" t="inlineStr">
        <is>
          <t>Gold</t>
        </is>
      </c>
      <c r="C33" s="19" t="inlineStr">
        <is>
          <t>Energy</t>
        </is>
      </c>
      <c r="D33" s="6" t="n">
        <v>54</v>
      </c>
      <c r="E33" s="6" t="n">
        <v>45</v>
      </c>
      <c r="F33" s="6" t="n">
        <v>2</v>
      </c>
      <c r="G33" s="9">
        <f>IFERROR(1-F33/E33,"")</f>
        <v/>
      </c>
      <c r="H33" s="9" t="n">
        <v>0.9184</v>
      </c>
      <c r="I33" s="10">
        <f>IFERROR((G33-H33)*100,"")</f>
        <v/>
      </c>
      <c r="J33" s="11" t="n">
        <v>18.37</v>
      </c>
      <c r="K33" s="6" t="n">
        <v>11</v>
      </c>
      <c r="L33" s="6" t="n">
        <v>4</v>
      </c>
      <c r="M33" s="6" t="n">
        <v>3</v>
      </c>
    </row>
    <row r="34">
      <c r="A34" s="19" t="inlineStr">
        <is>
          <t>Ridgeline Stores Ltd.</t>
        </is>
      </c>
      <c r="B34" s="19" t="inlineStr">
        <is>
          <t>Gold</t>
        </is>
      </c>
      <c r="C34" s="19" t="inlineStr">
        <is>
          <t>Retail</t>
        </is>
      </c>
      <c r="D34" s="6" t="n">
        <v>45</v>
      </c>
      <c r="E34" s="6" t="n">
        <v>42</v>
      </c>
      <c r="F34" s="6" t="n">
        <v>2</v>
      </c>
      <c r="G34" s="9">
        <f>IFERROR(1-F34/E34,"")</f>
        <v/>
      </c>
      <c r="H34" s="9" t="n">
        <v>0.8846000000000001</v>
      </c>
      <c r="I34" s="10">
        <f>IFERROR((G34-H34)*100,"")</f>
        <v/>
      </c>
      <c r="J34" s="11" t="n">
        <v>12.17</v>
      </c>
      <c r="K34" s="6" t="n">
        <v>5</v>
      </c>
      <c r="L34" s="6" t="n">
        <v>0</v>
      </c>
      <c r="M34" s="6" t="n">
        <v>1</v>
      </c>
    </row>
    <row r="35">
      <c r="A35" s="19" t="inlineStr">
        <is>
          <t>Dominion Outfitters</t>
        </is>
      </c>
      <c r="B35" s="19" t="inlineStr">
        <is>
          <t>Silver</t>
        </is>
      </c>
      <c r="C35" s="19" t="inlineStr">
        <is>
          <t>Retail</t>
        </is>
      </c>
      <c r="D35" s="6" t="n">
        <v>27</v>
      </c>
      <c r="E35" s="6" t="n">
        <v>24</v>
      </c>
      <c r="F35" s="6" t="n">
        <v>2</v>
      </c>
      <c r="G35" s="9">
        <f>IFERROR(1-F35/E35,"")</f>
        <v/>
      </c>
      <c r="H35" s="9" t="n">
        <v>0.9444</v>
      </c>
      <c r="I35" s="10">
        <f>IFERROR((G35-H35)*100,"")</f>
        <v/>
      </c>
      <c r="J35" s="11" t="n">
        <v>39.68</v>
      </c>
      <c r="K35" s="6" t="n">
        <v>5</v>
      </c>
      <c r="L35" s="6" t="n">
        <v>1</v>
      </c>
      <c r="M35" s="6" t="n">
        <v>1</v>
      </c>
    </row>
    <row r="36">
      <c r="A36" s="19" t="inlineStr">
        <is>
          <t>Lakeview Health Network</t>
        </is>
      </c>
      <c r="B36" s="19" t="inlineStr">
        <is>
          <t>Silver</t>
        </is>
      </c>
      <c r="C36" s="19" t="inlineStr">
        <is>
          <t>Healthcare</t>
        </is>
      </c>
      <c r="D36" s="6" t="n">
        <v>18</v>
      </c>
      <c r="E36" s="6" t="n">
        <v>19</v>
      </c>
      <c r="F36" s="6" t="n">
        <v>2</v>
      </c>
      <c r="G36" s="9">
        <f>IFERROR(1-F36/E36,"")</f>
        <v/>
      </c>
      <c r="H36" s="9" t="n">
        <v>0.9375</v>
      </c>
      <c r="I36" s="10">
        <f>IFERROR((G36-H36)*100,"")</f>
        <v/>
      </c>
      <c r="J36" s="11" t="n">
        <v>27.36</v>
      </c>
      <c r="K36" s="6" t="n">
        <v>5</v>
      </c>
      <c r="L36" s="6" t="n">
        <v>0</v>
      </c>
      <c r="M36" s="6" t="n">
        <v>1</v>
      </c>
    </row>
    <row r="37">
      <c r="A37" s="19" t="inlineStr">
        <is>
          <t>Orchard Distribution</t>
        </is>
      </c>
      <c r="B37" s="19" t="inlineStr">
        <is>
          <t>Silver</t>
        </is>
      </c>
      <c r="C37" s="19" t="inlineStr">
        <is>
          <t>Logistics</t>
        </is>
      </c>
      <c r="D37" s="6" t="n">
        <v>12</v>
      </c>
      <c r="E37" s="6" t="n">
        <v>11</v>
      </c>
      <c r="F37" s="6" t="n">
        <v>2</v>
      </c>
      <c r="G37" s="9">
        <f>IFERROR(1-F37/E37,"")</f>
        <v/>
      </c>
      <c r="H37" s="9" t="n">
        <v>0.8</v>
      </c>
      <c r="I37" s="10">
        <f>IFERROR((G37-H37)*100,"")</f>
        <v/>
      </c>
      <c r="J37" s="11" t="n">
        <v>58.41</v>
      </c>
      <c r="K37" s="6" t="n">
        <v>1</v>
      </c>
      <c r="L37" s="6" t="n">
        <v>0</v>
      </c>
      <c r="M37" s="6" t="n">
        <v>1</v>
      </c>
    </row>
    <row r="38">
      <c r="A38" s="19" t="inlineStr">
        <is>
          <t>Prairie Health Network</t>
        </is>
      </c>
      <c r="B38" s="19" t="inlineStr">
        <is>
          <t>Silver</t>
        </is>
      </c>
      <c r="C38" s="19" t="inlineStr">
        <is>
          <t>Healthcare</t>
        </is>
      </c>
      <c r="D38" s="6" t="n">
        <v>37</v>
      </c>
      <c r="E38" s="6" t="n">
        <v>31</v>
      </c>
      <c r="F38" s="6" t="n">
        <v>1</v>
      </c>
      <c r="G38" s="9">
        <f>IFERROR(1-F38/E38,"")</f>
        <v/>
      </c>
      <c r="H38" s="9" t="n">
        <v>0.875</v>
      </c>
      <c r="I38" s="10">
        <f>IFERROR((G38-H38)*100,"")</f>
        <v/>
      </c>
      <c r="J38" s="11" t="n">
        <v>27.75</v>
      </c>
      <c r="K38" s="6" t="n">
        <v>9</v>
      </c>
      <c r="L38" s="6" t="n">
        <v>3</v>
      </c>
      <c r="M38" s="6" t="n">
        <v>3</v>
      </c>
    </row>
    <row r="39">
      <c r="A39" s="19" t="inlineStr">
        <is>
          <t>Redwood Learning Trust</t>
        </is>
      </c>
      <c r="B39" s="19" t="inlineStr">
        <is>
          <t>Silver</t>
        </is>
      </c>
      <c r="C39" s="19" t="inlineStr">
        <is>
          <t>Education</t>
        </is>
      </c>
      <c r="D39" s="6" t="n">
        <v>27</v>
      </c>
      <c r="E39" s="6" t="n">
        <v>26</v>
      </c>
      <c r="F39" s="6" t="n">
        <v>1</v>
      </c>
      <c r="G39" s="9">
        <f>IFERROR(1-F39/E39,"")</f>
        <v/>
      </c>
      <c r="H39" s="9" t="n">
        <v>0.875</v>
      </c>
      <c r="I39" s="10">
        <f>IFERROR((G39-H39)*100,"")</f>
        <v/>
      </c>
      <c r="J39" s="11" t="n">
        <v>26.01</v>
      </c>
      <c r="K39" s="6" t="n">
        <v>3</v>
      </c>
      <c r="L39" s="6" t="n">
        <v>0</v>
      </c>
      <c r="M39" s="6" t="n">
        <v>0</v>
      </c>
    </row>
    <row r="40">
      <c r="A40" s="19" t="inlineStr">
        <is>
          <t>Bluewater Health Network</t>
        </is>
      </c>
      <c r="B40" s="19" t="inlineStr">
        <is>
          <t>Silver</t>
        </is>
      </c>
      <c r="C40" s="19" t="inlineStr">
        <is>
          <t>Healthcare</t>
        </is>
      </c>
      <c r="D40" s="6" t="n">
        <v>23</v>
      </c>
      <c r="E40" s="6" t="n">
        <v>20</v>
      </c>
      <c r="F40" s="6" t="n">
        <v>1</v>
      </c>
      <c r="G40" s="9">
        <f>IFERROR(1-F40/E40,"")</f>
        <v/>
      </c>
      <c r="H40" s="9" t="n">
        <v>0.9583</v>
      </c>
      <c r="I40" s="10">
        <f>IFERROR((G40-H40)*100,"")</f>
        <v/>
      </c>
      <c r="J40" s="11" t="n">
        <v>39.04</v>
      </c>
      <c r="K40" s="6" t="n">
        <v>6</v>
      </c>
      <c r="L40" s="6" t="n">
        <v>1</v>
      </c>
      <c r="M40" s="6" t="n">
        <v>1</v>
      </c>
    </row>
    <row r="41">
      <c r="A41" s="19" t="inlineStr">
        <is>
          <t>Westgate Care Group</t>
        </is>
      </c>
      <c r="B41" s="19" t="inlineStr">
        <is>
          <t>Silver</t>
        </is>
      </c>
      <c r="C41" s="19" t="inlineStr">
        <is>
          <t>Healthcare</t>
        </is>
      </c>
      <c r="D41" s="6" t="n">
        <v>7</v>
      </c>
      <c r="E41" s="6" t="n">
        <v>8</v>
      </c>
      <c r="F41" s="6" t="n">
        <v>1</v>
      </c>
      <c r="G41" s="9">
        <f>IFERROR(1-F41/E41,"")</f>
        <v/>
      </c>
      <c r="H41" s="9" t="n">
        <v>0.8</v>
      </c>
      <c r="I41" s="10">
        <f>IFERROR((G41-H41)*100,"")</f>
        <v/>
      </c>
      <c r="J41" s="11" t="n">
        <v>14.52</v>
      </c>
      <c r="K41" s="6" t="n">
        <v>0</v>
      </c>
      <c r="L41" s="6" t="n">
        <v>0</v>
      </c>
      <c r="M41" s="6" t="n">
        <v>0</v>
      </c>
    </row>
    <row r="42">
      <c r="A42" s="19" t="inlineStr">
        <is>
          <t>Northshore Utilities</t>
        </is>
      </c>
      <c r="B42" s="19" t="inlineStr">
        <is>
          <t>Silver</t>
        </is>
      </c>
      <c r="C42" s="19" t="inlineStr">
        <is>
          <t>Public Sector</t>
        </is>
      </c>
      <c r="D42" s="6" t="n">
        <v>31</v>
      </c>
      <c r="E42" s="6" t="n">
        <v>26</v>
      </c>
      <c r="F42" s="6" t="n">
        <v>0</v>
      </c>
      <c r="G42" s="9">
        <f>IFERROR(1-F42/E42,"")</f>
        <v/>
      </c>
      <c r="H42" s="9" t="n">
        <v>0.8974</v>
      </c>
      <c r="I42" s="10">
        <f>IFERROR((G42-H42)*100,"")</f>
        <v/>
      </c>
      <c r="J42" s="11" t="n">
        <v>22.85</v>
      </c>
      <c r="K42" s="6" t="n">
        <v>7</v>
      </c>
      <c r="L42" s="6" t="n">
        <v>0</v>
      </c>
      <c r="M42" s="6" t="n">
        <v>1</v>
      </c>
    </row>
    <row r="43">
      <c r="A43" s="19" t="inlineStr">
        <is>
          <t>Ironwood Health Network</t>
        </is>
      </c>
      <c r="B43" s="19" t="inlineStr">
        <is>
          <t>Silver</t>
        </is>
      </c>
      <c r="C43" s="19" t="inlineStr">
        <is>
          <t>Healthcare</t>
        </is>
      </c>
      <c r="D43" s="6" t="n">
        <v>21</v>
      </c>
      <c r="E43" s="6" t="n">
        <v>19</v>
      </c>
      <c r="F43" s="6" t="n">
        <v>0</v>
      </c>
      <c r="G43" s="9">
        <f>IFERROR(1-F43/E43,"")</f>
        <v/>
      </c>
      <c r="H43" s="9" t="n">
        <v>0.85</v>
      </c>
      <c r="I43" s="10">
        <f>IFERROR((G43-H43)*100,"")</f>
        <v/>
      </c>
      <c r="J43" s="11" t="n">
        <v>26.55</v>
      </c>
      <c r="K43" s="6" t="n">
        <v>6</v>
      </c>
      <c r="L43" s="6" t="n">
        <v>1</v>
      </c>
      <c r="M43" s="6" t="n">
        <v>0</v>
      </c>
    </row>
    <row r="44">
      <c r="A44" s="19" t="inlineStr">
        <is>
          <t>Crestview Pipelines</t>
        </is>
      </c>
      <c r="B44" s="19" t="inlineStr">
        <is>
          <t>Silver</t>
        </is>
      </c>
      <c r="C44" s="19" t="inlineStr">
        <is>
          <t>Energy</t>
        </is>
      </c>
      <c r="D44" s="6" t="n">
        <v>13</v>
      </c>
      <c r="E44" s="6" t="n">
        <v>11</v>
      </c>
      <c r="F44" s="6" t="n">
        <v>0</v>
      </c>
      <c r="G44" s="9">
        <f>IFERROR(1-F44/E44,"")</f>
        <v/>
      </c>
      <c r="H44" s="9" t="n">
        <v>0.9286</v>
      </c>
      <c r="I44" s="10">
        <f>IFERROR((G44-H44)*100,"")</f>
        <v/>
      </c>
      <c r="J44" s="11" t="n">
        <v>34.76</v>
      </c>
      <c r="K44" s="6" t="n">
        <v>5</v>
      </c>
      <c r="L44" s="6" t="n">
        <v>1</v>
      </c>
      <c r="M44" s="6" t="n">
        <v>0</v>
      </c>
    </row>
    <row r="45">
      <c r="A45" s="19" t="inlineStr">
        <is>
          <t>Pinecrest Energy</t>
        </is>
      </c>
      <c r="B45" s="19" t="inlineStr">
        <is>
          <t>Bronze</t>
        </is>
      </c>
      <c r="C45" s="19" t="inlineStr">
        <is>
          <t>Energy</t>
        </is>
      </c>
      <c r="D45" s="6" t="n">
        <v>7</v>
      </c>
      <c r="E45" s="6" t="n">
        <v>6</v>
      </c>
      <c r="F45" s="6" t="n">
        <v>0</v>
      </c>
      <c r="G45" s="9">
        <f>IFERROR(1-F45/E45,"")</f>
        <v/>
      </c>
      <c r="H45" s="9" t="n">
        <v>0.8</v>
      </c>
      <c r="I45" s="10">
        <f>IFERROR((G45-H45)*100,"")</f>
        <v/>
      </c>
      <c r="J45" s="11" t="n">
        <v>31.89</v>
      </c>
      <c r="K45" s="6" t="n">
        <v>2</v>
      </c>
      <c r="L45" s="6" t="n">
        <v>0</v>
      </c>
      <c r="M45" s="6" t="n">
        <v>1</v>
      </c>
    </row>
    <row r="46">
      <c r="A46" s="20" t="inlineStr">
        <is>
          <t>Total</t>
        </is>
      </c>
      <c r="B46" s="20" t="n"/>
      <c r="C46" s="20" t="n"/>
      <c r="D46" s="16">
        <f>SUM(D6:D45)</f>
        <v/>
      </c>
      <c r="E46" s="16">
        <f>SUM(E6:E45)</f>
        <v/>
      </c>
      <c r="F46" s="16">
        <f>SUM(F6:F45)</f>
        <v/>
      </c>
      <c r="G46" s="17">
        <f>IFERROR(1-F46/E46,"")</f>
        <v/>
      </c>
      <c r="H46" s="20" t="n"/>
      <c r="I46" s="20" t="n"/>
      <c r="J46" s="20" t="n"/>
      <c r="K46" s="16">
        <f>SUM(K6:K45)</f>
        <v/>
      </c>
      <c r="L46" s="16">
        <f>SUM(L6:L45)</f>
        <v/>
      </c>
      <c r="M46" s="16">
        <f>SUM(M6:M45)</f>
        <v/>
      </c>
    </row>
  </sheetData>
  <autoFilter ref="A5:M45"/>
  <conditionalFormatting sqref="G6:G45">
    <cfRule type="colorScale" priority="1">
      <colorScale>
        <cfvo type="num" val="0.7"/>
        <cfvo type="num" val="0.85"/>
        <cfvo type="num" val="1"/>
        <color rgb="00F8696B"/>
        <color rgb="00FFEB84"/>
        <color rgb="0063BE7B"/>
      </colorScale>
    </cfRule>
  </conditionalFormatting>
  <conditionalFormatting sqref="I6:I45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M6:M45">
    <cfRule type="dataBar" priority="4">
      <dataBar>
        <cfvo type="num" val="0"/>
        <cfvo type="max"/>
        <color rgb="00C00000"/>
      </dataBar>
    </cfRule>
  </conditionalFormatting>
  <conditionalFormatting sqref="K6:K45">
    <cfRule type="dataBar" priority="5">
      <dataBar>
        <cfvo type="num" val="0"/>
        <cfvo type="max"/>
        <color rgb="005B9BD5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12" customWidth="1" min="5" max="5"/>
    <col width="12" customWidth="1" min="6" max="6"/>
    <col width="11" customWidth="1" min="7" max="7"/>
    <col width="9" customWidth="1" min="8" max="8"/>
    <col width="9" customWidth="1" min="9" max="9"/>
    <col width="11" customWidth="1" min="10" max="10"/>
    <col width="9" customWidth="1" min="11" max="11"/>
    <col width="14" customWidth="1" min="12" max="12"/>
  </cols>
  <sheetData>
    <row r="1">
      <c r="A1" s="1" t="inlineStr">
        <is>
          <t>By service type - week ending 2026-06-28</t>
        </is>
      </c>
    </row>
    <row r="2">
      <c r="A2" s="2" t="inlineStr">
        <is>
          <t>Resolution-week basis for compliance and the percentiles; backlog at 2026-06-29 00:00:00 UTC.</t>
        </is>
      </c>
    </row>
    <row r="3">
      <c r="A3" s="3" t="inlineStr">
        <is>
          <t>SYNTHETIC DATA - generated by slawatch; no real customers, sites or tickets</t>
        </is>
      </c>
    </row>
    <row r="5" ht="30" customHeight="1">
      <c r="A5" s="4" t="inlineStr">
        <is>
          <t>Service type</t>
        </is>
      </c>
      <c r="B5" s="4" t="inlineStr">
        <is>
          <t>Opened</t>
        </is>
      </c>
      <c r="C5" s="4" t="inlineStr">
        <is>
          <t>Resolved</t>
        </is>
      </c>
      <c r="D5" s="4" t="inlineStr">
        <is>
          <t>Breaches</t>
        </is>
      </c>
      <c r="E5" s="4" t="inlineStr">
        <is>
          <t>SLA compliance</t>
        </is>
      </c>
      <c r="F5" s="4" t="inlineStr">
        <is>
          <t>Prior week compliance</t>
        </is>
      </c>
      <c r="G5" s="4" t="inlineStr">
        <is>
          <t>Change (pp)</t>
        </is>
      </c>
      <c r="H5" s="4" t="inlineStr">
        <is>
          <t>p50 (h)</t>
        </is>
      </c>
      <c r="I5" s="4" t="inlineStr">
        <is>
          <t>p90 (h)</t>
        </is>
      </c>
      <c r="J5" s="4" t="inlineStr">
        <is>
          <t>Open backlog</t>
        </is>
      </c>
      <c r="K5" s="4" t="inlineStr">
        <is>
          <t>Past due</t>
        </is>
      </c>
      <c r="L5" s="4" t="inlineStr">
        <is>
          <t>High-risk open (model)</t>
        </is>
      </c>
    </row>
    <row r="6">
      <c r="A6" s="19" t="inlineStr">
        <is>
          <t>SD-WAN</t>
        </is>
      </c>
      <c r="B6" s="6" t="n">
        <v>501</v>
      </c>
      <c r="C6" s="6" t="n">
        <v>511</v>
      </c>
      <c r="D6" s="6" t="n">
        <v>86</v>
      </c>
      <c r="E6" s="9">
        <f>IFERROR(1-D6/C6,"")</f>
        <v/>
      </c>
      <c r="F6" s="9" t="n">
        <v>0.852</v>
      </c>
      <c r="G6" s="10">
        <f>IFERROR((E6-F6)*100,"")</f>
        <v/>
      </c>
      <c r="H6" s="11" t="n">
        <v>21.72</v>
      </c>
      <c r="I6" s="11" t="n">
        <v>91.81</v>
      </c>
      <c r="J6" s="6" t="n">
        <v>81</v>
      </c>
      <c r="K6" s="6" t="n">
        <v>20</v>
      </c>
      <c r="L6" s="6" t="n">
        <v>42</v>
      </c>
    </row>
    <row r="7">
      <c r="A7" s="19" t="inlineStr">
        <is>
          <t>Business Voice (SIP)</t>
        </is>
      </c>
      <c r="B7" s="6" t="n">
        <v>424</v>
      </c>
      <c r="C7" s="6" t="n">
        <v>424</v>
      </c>
      <c r="D7" s="6" t="n">
        <v>53</v>
      </c>
      <c r="E7" s="9">
        <f>IFERROR(1-D7/C7,"")</f>
        <v/>
      </c>
      <c r="F7" s="9" t="n">
        <v>0.8639</v>
      </c>
      <c r="G7" s="10">
        <f>IFERROR((E7-F7)*100,"")</f>
        <v/>
      </c>
      <c r="H7" s="11" t="n">
        <v>17.52</v>
      </c>
      <c r="I7" s="11" t="n">
        <v>70.98999999999999</v>
      </c>
      <c r="J7" s="6" t="n">
        <v>55</v>
      </c>
      <c r="K7" s="6" t="n">
        <v>9</v>
      </c>
      <c r="L7" s="6" t="n">
        <v>13</v>
      </c>
    </row>
    <row r="8">
      <c r="A8" s="19" t="inlineStr">
        <is>
          <t>Dedicated Internet</t>
        </is>
      </c>
      <c r="B8" s="6" t="n">
        <v>445</v>
      </c>
      <c r="C8" s="6" t="n">
        <v>442</v>
      </c>
      <c r="D8" s="6" t="n">
        <v>50</v>
      </c>
      <c r="E8" s="9">
        <f>IFERROR(1-D8/C8,"")</f>
        <v/>
      </c>
      <c r="F8" s="9" t="n">
        <v>0.8758</v>
      </c>
      <c r="G8" s="10">
        <f>IFERROR((E8-F8)*100,"")</f>
        <v/>
      </c>
      <c r="H8" s="11" t="n">
        <v>16.38</v>
      </c>
      <c r="I8" s="11" t="n">
        <v>74.48</v>
      </c>
      <c r="J8" s="6" t="n">
        <v>68</v>
      </c>
      <c r="K8" s="6" t="n">
        <v>19</v>
      </c>
      <c r="L8" s="6" t="n">
        <v>16</v>
      </c>
    </row>
    <row r="9">
      <c r="A9" s="19" t="inlineStr">
        <is>
          <t>MPLS WAN</t>
        </is>
      </c>
      <c r="B9" s="6" t="n">
        <v>169</v>
      </c>
      <c r="C9" s="6" t="n">
        <v>165</v>
      </c>
      <c r="D9" s="6" t="n">
        <v>26</v>
      </c>
      <c r="E9" s="9">
        <f>IFERROR(1-D9/C9,"")</f>
        <v/>
      </c>
      <c r="F9" s="9" t="n">
        <v>0.8487</v>
      </c>
      <c r="G9" s="10">
        <f>IFERROR((E9-F9)*100,"")</f>
        <v/>
      </c>
      <c r="H9" s="11" t="n">
        <v>20.24</v>
      </c>
      <c r="I9" s="11" t="n">
        <v>78.26000000000001</v>
      </c>
      <c r="J9" s="6" t="n">
        <v>27</v>
      </c>
      <c r="K9" s="6" t="n">
        <v>8</v>
      </c>
      <c r="L9" s="6" t="n">
        <v>9</v>
      </c>
    </row>
    <row r="10">
      <c r="A10" s="19" t="inlineStr">
        <is>
          <t>Managed Security</t>
        </is>
      </c>
      <c r="B10" s="6" t="n">
        <v>195</v>
      </c>
      <c r="C10" s="6" t="n">
        <v>189</v>
      </c>
      <c r="D10" s="6" t="n">
        <v>22</v>
      </c>
      <c r="E10" s="9">
        <f>IFERROR(1-D10/C10,"")</f>
        <v/>
      </c>
      <c r="F10" s="9" t="n">
        <v>0.9366</v>
      </c>
      <c r="G10" s="10">
        <f>IFERROR((E10-F10)*100,"")</f>
        <v/>
      </c>
      <c r="H10" s="11" t="n">
        <v>12.64</v>
      </c>
      <c r="I10" s="11" t="n">
        <v>69.76000000000001</v>
      </c>
      <c r="J10" s="6" t="n">
        <v>23</v>
      </c>
      <c r="K10" s="6" t="n">
        <v>2</v>
      </c>
      <c r="L10" s="6" t="n">
        <v>1</v>
      </c>
    </row>
    <row r="11">
      <c r="A11" s="19" t="inlineStr">
        <is>
          <t>Managed Cloud</t>
        </is>
      </c>
      <c r="B11" s="6" t="n">
        <v>197</v>
      </c>
      <c r="C11" s="6" t="n">
        <v>186</v>
      </c>
      <c r="D11" s="6" t="n">
        <v>18</v>
      </c>
      <c r="E11" s="9">
        <f>IFERROR(1-D11/C11,"")</f>
        <v/>
      </c>
      <c r="F11" s="9" t="n">
        <v>0.89</v>
      </c>
      <c r="G11" s="10">
        <f>IFERROR((E11-F11)*100,"")</f>
        <v/>
      </c>
      <c r="H11" s="11" t="n">
        <v>15.49</v>
      </c>
      <c r="I11" s="11" t="n">
        <v>65.40000000000001</v>
      </c>
      <c r="J11" s="6" t="n">
        <v>32</v>
      </c>
      <c r="K11" s="6" t="n">
        <v>4</v>
      </c>
      <c r="L11" s="6" t="n">
        <v>11</v>
      </c>
    </row>
    <row r="12">
      <c r="A12" s="20" t="inlineStr">
        <is>
          <t>Total</t>
        </is>
      </c>
      <c r="B12" s="16">
        <f>SUM(B6:B11)</f>
        <v/>
      </c>
      <c r="C12" s="16">
        <f>SUM(C6:C11)</f>
        <v/>
      </c>
      <c r="D12" s="16">
        <f>SUM(D6:D11)</f>
        <v/>
      </c>
      <c r="E12" s="17">
        <f>IFERROR(1-D12/C12,"")</f>
        <v/>
      </c>
      <c r="F12" s="20" t="n"/>
      <c r="G12" s="20" t="n"/>
      <c r="H12" s="20" t="n"/>
      <c r="I12" s="20" t="n"/>
      <c r="J12" s="16">
        <f>SUM(J6:J11)</f>
        <v/>
      </c>
      <c r="K12" s="16">
        <f>SUM(K6:K11)</f>
        <v/>
      </c>
      <c r="L12" s="16">
        <f>SUM(L6:L11)</f>
        <v/>
      </c>
    </row>
  </sheetData>
  <conditionalFormatting sqref="E6:E11">
    <cfRule type="colorScale" priority="1">
      <colorScale>
        <cfvo type="num" val="0.7"/>
        <cfvo type="num" val="0.85"/>
        <cfvo type="num" val="1"/>
        <color rgb="00F8696B"/>
        <color rgb="00FFEB84"/>
        <color rgb="0063BE7B"/>
      </colorScale>
    </cfRule>
  </conditionalFormatting>
  <conditionalFormatting sqref="G6:G11">
    <cfRule type="cellIs" priority="2" operator="greaterThan" dxfId="0">
      <formula>0</formula>
    </cfRule>
    <cfRule type="cellIs" priority="3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0" customWidth="1" min="8" max="8"/>
    <col width="16" customWidth="1" min="9" max="9"/>
    <col width="16" customWidth="1" min="10" max="10"/>
    <col width="14" customWidth="1" min="11" max="11"/>
  </cols>
  <sheetData>
    <row r="1">
      <c r="A1" s="1" t="inlineStr">
        <is>
          <t>Backlog ageing at 2026-06-29 00:00:00 UTC (end of week 2026-06-28)</t>
        </is>
      </c>
    </row>
    <row r="2">
      <c r="A2" s="2" t="inlineStr">
        <is>
          <t>Age = time since creation at the snapshot. Past due = already beyond the expected resolution date. Row totals are formulas.</t>
        </is>
      </c>
    </row>
    <row r="3">
      <c r="A3" s="3" t="inlineStr">
        <is>
          <t>SYNTHETIC DATA - generated by slawatch; no real customers, sites or tickets</t>
        </is>
      </c>
    </row>
    <row r="5">
      <c r="A5" s="13" t="inlineStr">
        <is>
          <t>Open tickets by assignment group and age band</t>
        </is>
      </c>
    </row>
    <row r="6" ht="30" customHeight="1">
      <c r="A6" s="4" t="inlineStr">
        <is>
          <t>Assignment group</t>
        </is>
      </c>
      <c r="B6" s="4" t="inlineStr">
        <is>
          <t>0-24h</t>
        </is>
      </c>
      <c r="C6" s="4" t="inlineStr">
        <is>
          <t>1-3d</t>
        </is>
      </c>
      <c r="D6" s="4" t="inlineStr">
        <is>
          <t>3-7d</t>
        </is>
      </c>
      <c r="E6" s="4" t="inlineStr">
        <is>
          <t>7-30d</t>
        </is>
      </c>
      <c r="F6" s="4" t="inlineStr">
        <is>
          <t>30d+</t>
        </is>
      </c>
      <c r="G6" s="4" t="inlineStr">
        <is>
          <t>Total open</t>
        </is>
      </c>
      <c r="H6" s="4" t="inlineStr">
        <is>
          <t>Past due</t>
        </is>
      </c>
      <c r="I6" s="4" t="inlineStr">
        <is>
          <t>Critical or major</t>
        </is>
      </c>
      <c r="J6" s="4" t="inlineStr">
        <is>
          <t>High-risk (model)</t>
        </is>
      </c>
      <c r="K6" s="4" t="inlineStr">
        <is>
          <t>Median age (h)</t>
        </is>
      </c>
    </row>
    <row r="7">
      <c r="A7" s="19" t="inlineStr">
        <is>
          <t>Cloud Ops</t>
        </is>
      </c>
      <c r="B7" s="6" t="n">
        <v>10</v>
      </c>
      <c r="C7" s="6" t="n">
        <v>14</v>
      </c>
      <c r="D7" s="6" t="n">
        <v>5</v>
      </c>
      <c r="E7" s="6" t="n">
        <v>3</v>
      </c>
      <c r="F7" s="6" t="n">
        <v>0</v>
      </c>
      <c r="G7" s="6">
        <f>SUM(B7:F7)</f>
        <v/>
      </c>
      <c r="H7" s="6" t="n">
        <v>4</v>
      </c>
      <c r="I7" s="6" t="n">
        <v>0</v>
      </c>
      <c r="J7" s="6" t="n">
        <v>11</v>
      </c>
      <c r="K7" s="11" t="n">
        <v>34.4</v>
      </c>
    </row>
    <row r="8">
      <c r="A8" s="19" t="inlineStr">
        <is>
          <t>Field - Atlantic</t>
        </is>
      </c>
      <c r="B8" s="6" t="n">
        <v>5</v>
      </c>
      <c r="C8" s="6" t="n">
        <v>7</v>
      </c>
      <c r="D8" s="6" t="n">
        <v>4</v>
      </c>
      <c r="E8" s="6" t="n">
        <v>1</v>
      </c>
      <c r="F8" s="6" t="n">
        <v>0</v>
      </c>
      <c r="G8" s="6">
        <f>SUM(B8:F8)</f>
        <v/>
      </c>
      <c r="H8" s="6" t="n">
        <v>5</v>
      </c>
      <c r="I8" s="6" t="n">
        <v>3</v>
      </c>
      <c r="J8" s="6" t="n">
        <v>11</v>
      </c>
      <c r="K8" s="11" t="n">
        <v>48.7</v>
      </c>
    </row>
    <row r="9">
      <c r="A9" s="19" t="inlineStr">
        <is>
          <t>Field - Ontario</t>
        </is>
      </c>
      <c r="B9" s="6" t="n">
        <v>17</v>
      </c>
      <c r="C9" s="6" t="n">
        <v>18</v>
      </c>
      <c r="D9" s="6" t="n">
        <v>14</v>
      </c>
      <c r="E9" s="6" t="n">
        <v>5</v>
      </c>
      <c r="F9" s="6" t="n">
        <v>0</v>
      </c>
      <c r="G9" s="6">
        <f>SUM(B9:F9)</f>
        <v/>
      </c>
      <c r="H9" s="6" t="n">
        <v>15</v>
      </c>
      <c r="I9" s="6" t="n">
        <v>8</v>
      </c>
      <c r="J9" s="6" t="n">
        <v>18</v>
      </c>
      <c r="K9" s="11" t="n">
        <v>54</v>
      </c>
    </row>
    <row r="10">
      <c r="A10" s="19" t="inlineStr">
        <is>
          <t>Field - Prairies</t>
        </is>
      </c>
      <c r="B10" s="6" t="n">
        <v>4</v>
      </c>
      <c r="C10" s="6" t="n">
        <v>2</v>
      </c>
      <c r="D10" s="6" t="n">
        <v>2</v>
      </c>
      <c r="E10" s="6" t="n">
        <v>1</v>
      </c>
      <c r="F10" s="6" t="n">
        <v>0</v>
      </c>
      <c r="G10" s="6">
        <f>SUM(B10:F10)</f>
        <v/>
      </c>
      <c r="H10" s="6" t="n">
        <v>3</v>
      </c>
      <c r="I10" s="6" t="n">
        <v>0</v>
      </c>
      <c r="J10" s="6" t="n">
        <v>2</v>
      </c>
      <c r="K10" s="11" t="n">
        <v>27.1</v>
      </c>
    </row>
    <row r="11">
      <c r="A11" s="19" t="inlineStr">
        <is>
          <t>Field - Quebec</t>
        </is>
      </c>
      <c r="B11" s="6" t="n">
        <v>14</v>
      </c>
      <c r="C11" s="6" t="n">
        <v>17</v>
      </c>
      <c r="D11" s="6" t="n">
        <v>15</v>
      </c>
      <c r="E11" s="6" t="n">
        <v>2</v>
      </c>
      <c r="F11" s="6" t="n">
        <v>0</v>
      </c>
      <c r="G11" s="6">
        <f>SUM(B11:F11)</f>
        <v/>
      </c>
      <c r="H11" s="6" t="n">
        <v>8</v>
      </c>
      <c r="I11" s="6" t="n">
        <v>1</v>
      </c>
      <c r="J11" s="6" t="n">
        <v>8</v>
      </c>
      <c r="K11" s="11" t="n">
        <v>43.6</v>
      </c>
    </row>
    <row r="12">
      <c r="A12" s="19" t="inlineStr">
        <is>
          <t>Field - West</t>
        </is>
      </c>
      <c r="B12" s="6" t="n">
        <v>12</v>
      </c>
      <c r="C12" s="6" t="n">
        <v>18</v>
      </c>
      <c r="D12" s="6" t="n">
        <v>11</v>
      </c>
      <c r="E12" s="6" t="n">
        <v>6</v>
      </c>
      <c r="F12" s="6" t="n">
        <v>1</v>
      </c>
      <c r="G12" s="6">
        <f>SUM(B12:F12)</f>
        <v/>
      </c>
      <c r="H12" s="6" t="n">
        <v>16</v>
      </c>
      <c r="I12" s="6" t="n">
        <v>3</v>
      </c>
      <c r="J12" s="6" t="n">
        <v>28</v>
      </c>
      <c r="K12" s="11" t="n">
        <v>47.8</v>
      </c>
    </row>
    <row r="13">
      <c r="A13" s="19" t="inlineStr">
        <is>
          <t>Security Ops</t>
        </is>
      </c>
      <c r="B13" s="6" t="n">
        <v>7</v>
      </c>
      <c r="C13" s="6" t="n">
        <v>12</v>
      </c>
      <c r="D13" s="6" t="n">
        <v>4</v>
      </c>
      <c r="E13" s="6" t="n">
        <v>0</v>
      </c>
      <c r="F13" s="6" t="n">
        <v>0</v>
      </c>
      <c r="G13" s="6">
        <f>SUM(B13:F13)</f>
        <v/>
      </c>
      <c r="H13" s="6" t="n">
        <v>2</v>
      </c>
      <c r="I13" s="6" t="n">
        <v>0</v>
      </c>
      <c r="J13" s="6" t="n">
        <v>1</v>
      </c>
      <c r="K13" s="11" t="n">
        <v>32.4</v>
      </c>
    </row>
    <row r="14">
      <c r="A14" s="19" t="inlineStr">
        <is>
          <t>Voice Ops</t>
        </is>
      </c>
      <c r="B14" s="6" t="n">
        <v>24</v>
      </c>
      <c r="C14" s="6" t="n">
        <v>21</v>
      </c>
      <c r="D14" s="6" t="n">
        <v>9</v>
      </c>
      <c r="E14" s="6" t="n">
        <v>1</v>
      </c>
      <c r="F14" s="6" t="n">
        <v>0</v>
      </c>
      <c r="G14" s="6">
        <f>SUM(B14:F14)</f>
        <v/>
      </c>
      <c r="H14" s="6" t="n">
        <v>9</v>
      </c>
      <c r="I14" s="6" t="n">
        <v>4</v>
      </c>
      <c r="J14" s="6" t="n">
        <v>13</v>
      </c>
      <c r="K14" s="11" t="n">
        <v>27.9</v>
      </c>
    </row>
    <row r="15">
      <c r="A15" s="20" t="inlineStr">
        <is>
          <t>Total</t>
        </is>
      </c>
      <c r="B15" s="16">
        <f>SUM(B7:B14)</f>
        <v/>
      </c>
      <c r="C15" s="16">
        <f>SUM(C7:C14)</f>
        <v/>
      </c>
      <c r="D15" s="16">
        <f>SUM(D7:D14)</f>
        <v/>
      </c>
      <c r="E15" s="16">
        <f>SUM(E7:E14)</f>
        <v/>
      </c>
      <c r="F15" s="16">
        <f>SUM(F7:F14)</f>
        <v/>
      </c>
      <c r="G15" s="16">
        <f>SUM(G7:G14)</f>
        <v/>
      </c>
      <c r="H15" s="16">
        <f>SUM(H7:H14)</f>
        <v/>
      </c>
      <c r="I15" s="16">
        <f>SUM(I7:I14)</f>
        <v/>
      </c>
      <c r="J15" s="16">
        <f>SUM(J7:J14)</f>
        <v/>
      </c>
      <c r="K15" s="18" t="n">
        <v>35.5</v>
      </c>
    </row>
    <row r="18">
      <c r="A18" s="13" t="inlineStr">
        <is>
          <t>Open tickets by service type and age band</t>
        </is>
      </c>
    </row>
    <row r="19" ht="30" customHeight="1">
      <c r="A19" s="4" t="inlineStr">
        <is>
          <t>Service type</t>
        </is>
      </c>
      <c r="B19" s="4" t="inlineStr">
        <is>
          <t>0-24h</t>
        </is>
      </c>
      <c r="C19" s="4" t="inlineStr">
        <is>
          <t>1-3d</t>
        </is>
      </c>
      <c r="D19" s="4" t="inlineStr">
        <is>
          <t>3-7d</t>
        </is>
      </c>
      <c r="E19" s="4" t="inlineStr">
        <is>
          <t>7-30d</t>
        </is>
      </c>
      <c r="F19" s="4" t="inlineStr">
        <is>
          <t>30d+</t>
        </is>
      </c>
      <c r="G19" s="4" t="inlineStr">
        <is>
          <t>Total open</t>
        </is>
      </c>
      <c r="H19" s="4" t="inlineStr">
        <is>
          <t>Past due</t>
        </is>
      </c>
      <c r="I19" s="4" t="inlineStr">
        <is>
          <t>Critical or major</t>
        </is>
      </c>
      <c r="J19" s="4" t="inlineStr">
        <is>
          <t>High-risk (model)</t>
        </is>
      </c>
      <c r="K19" s="4" t="inlineStr">
        <is>
          <t>Median age (h)</t>
        </is>
      </c>
    </row>
    <row r="20">
      <c r="A20" s="19" t="inlineStr">
        <is>
          <t>Business Voice (SIP)</t>
        </is>
      </c>
      <c r="B20" s="6" t="n">
        <v>24</v>
      </c>
      <c r="C20" s="6" t="n">
        <v>21</v>
      </c>
      <c r="D20" s="6" t="n">
        <v>9</v>
      </c>
      <c r="E20" s="6" t="n">
        <v>1</v>
      </c>
      <c r="F20" s="6" t="n">
        <v>0</v>
      </c>
      <c r="G20" s="6">
        <f>SUM(B20:F20)</f>
        <v/>
      </c>
      <c r="H20" s="6" t="n">
        <v>9</v>
      </c>
      <c r="I20" s="6" t="n">
        <v>4</v>
      </c>
      <c r="J20" s="6" t="n">
        <v>13</v>
      </c>
      <c r="K20" s="11" t="n">
        <v>27.9</v>
      </c>
    </row>
    <row r="21">
      <c r="A21" s="19" t="inlineStr">
        <is>
          <t>Dedicated Internet</t>
        </is>
      </c>
      <c r="B21" s="6" t="n">
        <v>17</v>
      </c>
      <c r="C21" s="6" t="n">
        <v>25</v>
      </c>
      <c r="D21" s="6" t="n">
        <v>17</v>
      </c>
      <c r="E21" s="6" t="n">
        <v>9</v>
      </c>
      <c r="F21" s="6" t="n">
        <v>0</v>
      </c>
      <c r="G21" s="6">
        <f>SUM(B21:F21)</f>
        <v/>
      </c>
      <c r="H21" s="6" t="n">
        <v>19</v>
      </c>
      <c r="I21" s="6" t="n">
        <v>7</v>
      </c>
      <c r="J21" s="6" t="n">
        <v>16</v>
      </c>
      <c r="K21" s="11" t="n">
        <v>54.8</v>
      </c>
    </row>
    <row r="22">
      <c r="A22" s="19" t="inlineStr">
        <is>
          <t>Managed Cloud</t>
        </is>
      </c>
      <c r="B22" s="6" t="n">
        <v>10</v>
      </c>
      <c r="C22" s="6" t="n">
        <v>14</v>
      </c>
      <c r="D22" s="6" t="n">
        <v>5</v>
      </c>
      <c r="E22" s="6" t="n">
        <v>3</v>
      </c>
      <c r="F22" s="6" t="n">
        <v>0</v>
      </c>
      <c r="G22" s="6">
        <f>SUM(B22:F22)</f>
        <v/>
      </c>
      <c r="H22" s="6" t="n">
        <v>4</v>
      </c>
      <c r="I22" s="6" t="n">
        <v>0</v>
      </c>
      <c r="J22" s="6" t="n">
        <v>11</v>
      </c>
      <c r="K22" s="11" t="n">
        <v>34.4</v>
      </c>
    </row>
    <row r="23">
      <c r="A23" s="19" t="inlineStr">
        <is>
          <t>Managed Security</t>
        </is>
      </c>
      <c r="B23" s="6" t="n">
        <v>7</v>
      </c>
      <c r="C23" s="6" t="n">
        <v>12</v>
      </c>
      <c r="D23" s="6" t="n">
        <v>4</v>
      </c>
      <c r="E23" s="6" t="n">
        <v>0</v>
      </c>
      <c r="F23" s="6" t="n">
        <v>0</v>
      </c>
      <c r="G23" s="6">
        <f>SUM(B23:F23)</f>
        <v/>
      </c>
      <c r="H23" s="6" t="n">
        <v>2</v>
      </c>
      <c r="I23" s="6" t="n">
        <v>0</v>
      </c>
      <c r="J23" s="6" t="n">
        <v>1</v>
      </c>
      <c r="K23" s="11" t="n">
        <v>32.4</v>
      </c>
    </row>
    <row r="24">
      <c r="A24" s="19" t="inlineStr">
        <is>
          <t>MPLS WAN</t>
        </is>
      </c>
      <c r="B24" s="6" t="n">
        <v>9</v>
      </c>
      <c r="C24" s="6" t="n">
        <v>9</v>
      </c>
      <c r="D24" s="6" t="n">
        <v>9</v>
      </c>
      <c r="E24" s="6" t="n">
        <v>0</v>
      </c>
      <c r="F24" s="6" t="n">
        <v>0</v>
      </c>
      <c r="G24" s="6">
        <f>SUM(B24:F24)</f>
        <v/>
      </c>
      <c r="H24" s="6" t="n">
        <v>8</v>
      </c>
      <c r="I24" s="6" t="n">
        <v>3</v>
      </c>
      <c r="J24" s="6" t="n">
        <v>9</v>
      </c>
      <c r="K24" s="11" t="n">
        <v>48.7</v>
      </c>
    </row>
    <row r="25">
      <c r="A25" s="19" t="inlineStr">
        <is>
          <t>SD-WAN</t>
        </is>
      </c>
      <c r="B25" s="6" t="n">
        <v>26</v>
      </c>
      <c r="C25" s="6" t="n">
        <v>28</v>
      </c>
      <c r="D25" s="6" t="n">
        <v>20</v>
      </c>
      <c r="E25" s="6" t="n">
        <v>6</v>
      </c>
      <c r="F25" s="6" t="n">
        <v>1</v>
      </c>
      <c r="G25" s="6">
        <f>SUM(B25:F25)</f>
        <v/>
      </c>
      <c r="H25" s="6" t="n">
        <v>20</v>
      </c>
      <c r="I25" s="6" t="n">
        <v>5</v>
      </c>
      <c r="J25" s="6" t="n">
        <v>42</v>
      </c>
      <c r="K25" s="11" t="n">
        <v>38.9</v>
      </c>
    </row>
    <row r="26">
      <c r="A26" s="20" t="inlineStr">
        <is>
          <t>Total</t>
        </is>
      </c>
      <c r="B26" s="16">
        <f>SUM(B20:B25)</f>
        <v/>
      </c>
      <c r="C26" s="16">
        <f>SUM(C20:C25)</f>
        <v/>
      </c>
      <c r="D26" s="16">
        <f>SUM(D20:D25)</f>
        <v/>
      </c>
      <c r="E26" s="16">
        <f>SUM(E20:E25)</f>
        <v/>
      </c>
      <c r="F26" s="16">
        <f>SUM(F20:F25)</f>
        <v/>
      </c>
      <c r="G26" s="16">
        <f>SUM(G20:G25)</f>
        <v/>
      </c>
      <c r="H26" s="16">
        <f>SUM(H20:H25)</f>
        <v/>
      </c>
      <c r="I26" s="16">
        <f>SUM(I20:I25)</f>
        <v/>
      </c>
      <c r="J26" s="16">
        <f>SUM(J20:J25)</f>
        <v/>
      </c>
      <c r="K26" s="18" t="n">
        <v>35.5</v>
      </c>
    </row>
  </sheetData>
  <conditionalFormatting sqref="H7:H14">
    <cfRule type="dataBar" priority="1">
      <dataBar>
        <cfvo type="num" val="0"/>
        <cfvo type="max"/>
        <color rgb="00C00000"/>
      </dataBar>
    </cfRule>
  </conditionalFormatting>
  <conditionalFormatting sqref="H20:H25">
    <cfRule type="dataBar" priority="2">
      <dataBar>
        <cfvo type="num" val="0"/>
        <cfvo type="max"/>
        <color rgb="00C00000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30" customWidth="1" min="4" max="4"/>
    <col width="9" customWidth="1" min="5" max="5"/>
    <col width="20" customWidth="1" min="6" max="6"/>
    <col width="9" customWidth="1" min="7" max="7"/>
    <col width="16" customWidth="1" min="8" max="8"/>
    <col width="17" customWidth="1" min="9" max="9"/>
    <col width="8" customWidth="1" min="10" max="10"/>
    <col width="12" customWidth="1" min="11" max="11"/>
    <col width="22" customWidth="1" min="12" max="12"/>
    <col width="9" customWidth="1" min="13" max="13"/>
    <col width="12" customWidth="1" min="14" max="14"/>
    <col width="9" customWidth="1" min="15" max="15"/>
  </cols>
  <sheetData>
    <row r="1">
      <c r="A1" s="1" t="inlineStr">
        <is>
          <t>Top 50 open tickets by predicted SLA-breach probability</t>
        </is>
      </c>
    </row>
    <row r="2">
      <c r="A2" s="2" t="inlineStr">
        <is>
          <t>Open at the end of week 2026-06-28; probability from model 0.1.0 using creation-time features only. Age and past-due are formulas against the snapshot in B4.</t>
        </is>
      </c>
    </row>
    <row r="3">
      <c r="A3" s="3" t="inlineStr">
        <is>
          <t>SYNTHETIC DATA - generated by slawatch; no real customers, sites or tickets</t>
        </is>
      </c>
    </row>
    <row r="4">
      <c r="A4" s="13" t="inlineStr">
        <is>
          <t>Snapshot (UTC)</t>
        </is>
      </c>
      <c r="B4" s="21" t="n">
        <v>46202</v>
      </c>
    </row>
    <row r="6" ht="30" customHeight="1">
      <c r="A6" s="4" t="inlineStr">
        <is>
          <t>Rank</t>
        </is>
      </c>
      <c r="B6" s="4" t="inlineStr">
        <is>
          <t>Ticket</t>
        </is>
      </c>
      <c r="C6" s="4" t="inlineStr">
        <is>
          <t>Title</t>
        </is>
      </c>
      <c r="D6" s="4" t="inlineStr">
        <is>
          <t>Customer</t>
        </is>
      </c>
      <c r="E6" s="4" t="inlineStr">
        <is>
          <t>Tier</t>
        </is>
      </c>
      <c r="F6" s="4" t="inlineStr">
        <is>
          <t>Service type</t>
        </is>
      </c>
      <c r="G6" s="4" t="inlineStr">
        <is>
          <t>Severity</t>
        </is>
      </c>
      <c r="H6" s="4" t="inlineStr">
        <is>
          <t>Assignment group</t>
        </is>
      </c>
      <c r="I6" s="4" t="inlineStr">
        <is>
          <t>Created (UTC)</t>
        </is>
      </c>
      <c r="J6" s="4" t="inlineStr">
        <is>
          <t>Age (h)</t>
        </is>
      </c>
      <c r="K6" s="4" t="inlineStr">
        <is>
          <t>SLA target (h)</t>
        </is>
      </c>
      <c r="L6" s="4" t="inlineStr">
        <is>
          <t>Expected resolution (UTC)</t>
        </is>
      </c>
      <c r="M6" s="4" t="inlineStr">
        <is>
          <t>Past due</t>
        </is>
      </c>
      <c r="N6" s="4" t="inlineStr">
        <is>
          <t>Breach probability</t>
        </is>
      </c>
      <c r="O6" s="4" t="inlineStr">
        <is>
          <t>Risk band</t>
        </is>
      </c>
    </row>
    <row r="7">
      <c r="A7" s="19" t="n">
        <v>1</v>
      </c>
      <c r="B7" s="19" t="inlineStr">
        <is>
          <t>TT-0187246</t>
        </is>
      </c>
      <c r="C7" s="19" t="inlineStr">
        <is>
          <t>Policy push failed</t>
        </is>
      </c>
      <c r="D7" s="19" t="inlineStr">
        <is>
          <t>Cedar Marketplaces</t>
        </is>
      </c>
      <c r="E7" s="19" t="inlineStr">
        <is>
          <t>Bronze</t>
        </is>
      </c>
      <c r="F7" s="19" t="inlineStr">
        <is>
          <t>SD-WAN</t>
        </is>
      </c>
      <c r="G7" s="19" t="inlineStr">
        <is>
          <t>Low</t>
        </is>
      </c>
      <c r="H7" s="19" t="inlineStr">
        <is>
          <t>Field - West</t>
        </is>
      </c>
      <c r="I7" s="22" t="n">
        <v>46159.56002314815</v>
      </c>
      <c r="J7" s="11">
        <f>ROUND(($B$4-I7)*24,1)</f>
        <v/>
      </c>
      <c r="K7" s="11" t="n">
        <v>168</v>
      </c>
      <c r="L7" s="22" t="n">
        <v>46166.56002314815</v>
      </c>
      <c r="M7" s="19">
        <f>IF($B$4&gt;L7,"yes","no")</f>
        <v/>
      </c>
      <c r="N7" s="23" t="n">
        <v>0.7401759999999999</v>
      </c>
      <c r="O7" s="19" t="inlineStr">
        <is>
          <t>high</t>
        </is>
      </c>
    </row>
    <row r="8">
      <c r="A8" s="19" t="n">
        <v>2</v>
      </c>
      <c r="B8" s="19" t="inlineStr">
        <is>
          <t>TT-0197084</t>
        </is>
      </c>
      <c r="C8" s="19" t="inlineStr">
        <is>
          <t>Edge appliance offline</t>
        </is>
      </c>
      <c r="D8" s="19" t="inlineStr">
        <is>
          <t>Pioneer Freight Lines</t>
        </is>
      </c>
      <c r="E8" s="19" t="inlineStr">
        <is>
          <t>Silver</t>
        </is>
      </c>
      <c r="F8" s="19" t="inlineStr">
        <is>
          <t>SD-WAN</t>
        </is>
      </c>
      <c r="G8" s="19" t="inlineStr">
        <is>
          <t>Low</t>
        </is>
      </c>
      <c r="H8" s="19" t="inlineStr">
        <is>
          <t>Field - Atlantic</t>
        </is>
      </c>
      <c r="I8" s="22" t="n">
        <v>46193.39238425926</v>
      </c>
      <c r="J8" s="11">
        <f>ROUND(($B$4-I8)*24,1)</f>
        <v/>
      </c>
      <c r="K8" s="11" t="n">
        <v>120</v>
      </c>
      <c r="L8" s="22" t="n">
        <v>46198.39238425926</v>
      </c>
      <c r="M8" s="19">
        <f>IF($B$4&gt;L8,"yes","no")</f>
        <v/>
      </c>
      <c r="N8" s="23" t="n">
        <v>0.720382</v>
      </c>
      <c r="O8" s="19" t="inlineStr">
        <is>
          <t>high</t>
        </is>
      </c>
    </row>
    <row r="9">
      <c r="A9" s="19" t="n">
        <v>3</v>
      </c>
      <c r="B9" s="19" t="inlineStr">
        <is>
          <t>TT-0199189</t>
        </is>
      </c>
      <c r="C9" s="19" t="inlineStr">
        <is>
          <t>Policy push failed</t>
        </is>
      </c>
      <c r="D9" s="19" t="inlineStr">
        <is>
          <t>Cedar Marketplaces</t>
        </is>
      </c>
      <c r="E9" s="19" t="inlineStr">
        <is>
          <t>Bronze</t>
        </is>
      </c>
      <c r="F9" s="19" t="inlineStr">
        <is>
          <t>SD-WAN</t>
        </is>
      </c>
      <c r="G9" s="19" t="inlineStr">
        <is>
          <t>Minor</t>
        </is>
      </c>
      <c r="H9" s="19" t="inlineStr">
        <is>
          <t>Field - West</t>
        </is>
      </c>
      <c r="I9" s="22" t="n">
        <v>46201.47925925926</v>
      </c>
      <c r="J9" s="11">
        <f>ROUND(($B$4-I9)*24,1)</f>
        <v/>
      </c>
      <c r="K9" s="11" t="n">
        <v>96</v>
      </c>
      <c r="L9" s="22" t="n">
        <v>46205.47925925926</v>
      </c>
      <c r="M9" s="19">
        <f>IF($B$4&gt;L9,"yes","no")</f>
        <v/>
      </c>
      <c r="N9" s="23" t="n">
        <v>0.694187</v>
      </c>
      <c r="O9" s="19" t="inlineStr">
        <is>
          <t>high</t>
        </is>
      </c>
    </row>
    <row r="10">
      <c r="A10" s="19" t="n">
        <v>4</v>
      </c>
      <c r="B10" s="19" t="inlineStr">
        <is>
          <t>TT-0199188</t>
        </is>
      </c>
      <c r="C10" s="19" t="inlineStr">
        <is>
          <t>Intermittent packet loss</t>
        </is>
      </c>
      <c r="D10" s="19" t="inlineStr">
        <is>
          <t>Trillium Medical Centres</t>
        </is>
      </c>
      <c r="E10" s="19" t="inlineStr">
        <is>
          <t>Bronze</t>
        </is>
      </c>
      <c r="F10" s="19" t="inlineStr">
        <is>
          <t>Dedicated Internet</t>
        </is>
      </c>
      <c r="G10" s="19" t="inlineStr">
        <is>
          <t>Low</t>
        </is>
      </c>
      <c r="H10" s="19" t="inlineStr">
        <is>
          <t>Field - West</t>
        </is>
      </c>
      <c r="I10" s="22" t="n">
        <v>46201.47349537037</v>
      </c>
      <c r="J10" s="11">
        <f>ROUND(($B$4-I10)*24,1)</f>
        <v/>
      </c>
      <c r="K10" s="11" t="n">
        <v>168</v>
      </c>
      <c r="L10" s="22" t="n">
        <v>46208.47349537037</v>
      </c>
      <c r="M10" s="19">
        <f>IF($B$4&gt;L10,"yes","no")</f>
        <v/>
      </c>
      <c r="N10" s="23" t="n">
        <v>0.575673</v>
      </c>
      <c r="O10" s="19" t="inlineStr">
        <is>
          <t>high</t>
        </is>
      </c>
    </row>
    <row r="11">
      <c r="A11" s="19" t="n">
        <v>5</v>
      </c>
      <c r="B11" s="19" t="inlineStr">
        <is>
          <t>TT-0199209</t>
        </is>
      </c>
      <c r="C11" s="19" t="inlineStr">
        <is>
          <t>WAN link brownout</t>
        </is>
      </c>
      <c r="D11" s="19" t="inlineStr">
        <is>
          <t>Cedar Marketplaces</t>
        </is>
      </c>
      <c r="E11" s="19" t="inlineStr">
        <is>
          <t>Bronze</t>
        </is>
      </c>
      <c r="F11" s="19" t="inlineStr">
        <is>
          <t>SD-WAN</t>
        </is>
      </c>
      <c r="G11" s="19" t="inlineStr">
        <is>
          <t>Major</t>
        </is>
      </c>
      <c r="H11" s="19" t="inlineStr">
        <is>
          <t>Field - West</t>
        </is>
      </c>
      <c r="I11" s="22" t="n">
        <v>46201.57581018518</v>
      </c>
      <c r="J11" s="11">
        <f>ROUND(($B$4-I11)*24,1)</f>
        <v/>
      </c>
      <c r="K11" s="11" t="n">
        <v>36</v>
      </c>
      <c r="L11" s="22" t="n">
        <v>46203.07581018518</v>
      </c>
      <c r="M11" s="19">
        <f>IF($B$4&gt;L11,"yes","no")</f>
        <v/>
      </c>
      <c r="N11" s="23" t="n">
        <v>0.5749840000000001</v>
      </c>
      <c r="O11" s="19" t="inlineStr">
        <is>
          <t>high</t>
        </is>
      </c>
    </row>
    <row r="12">
      <c r="A12" s="19" t="n">
        <v>6</v>
      </c>
      <c r="B12" s="19" t="inlineStr">
        <is>
          <t>TT-0199052</t>
        </is>
      </c>
      <c r="C12" s="19" t="inlineStr">
        <is>
          <t>Policy push failed</t>
        </is>
      </c>
      <c r="D12" s="19" t="inlineStr">
        <is>
          <t>Frontier Freight Lines</t>
        </is>
      </c>
      <c r="E12" s="19" t="inlineStr">
        <is>
          <t>Gold</t>
        </is>
      </c>
      <c r="F12" s="19" t="inlineStr">
        <is>
          <t>SD-WAN</t>
        </is>
      </c>
      <c r="G12" s="19" t="inlineStr">
        <is>
          <t>Low</t>
        </is>
      </c>
      <c r="H12" s="19" t="inlineStr">
        <is>
          <t>Field - West</t>
        </is>
      </c>
      <c r="I12" s="22" t="n">
        <v>46200.47597222222</v>
      </c>
      <c r="J12" s="11">
        <f>ROUND(($B$4-I12)*24,1)</f>
        <v/>
      </c>
      <c r="K12" s="11" t="n">
        <v>96</v>
      </c>
      <c r="L12" s="22" t="n">
        <v>46204.47597222222</v>
      </c>
      <c r="M12" s="19">
        <f>IF($B$4&gt;L12,"yes","no")</f>
        <v/>
      </c>
      <c r="N12" s="23" t="n">
        <v>0.573458</v>
      </c>
      <c r="O12" s="19" t="inlineStr">
        <is>
          <t>high</t>
        </is>
      </c>
    </row>
    <row r="13">
      <c r="A13" s="19" t="n">
        <v>7</v>
      </c>
      <c r="B13" s="19" t="inlineStr">
        <is>
          <t>TT-0199283</t>
        </is>
      </c>
      <c r="C13" s="19" t="inlineStr">
        <is>
          <t>Edge appliance offline</t>
        </is>
      </c>
      <c r="D13" s="19" t="inlineStr">
        <is>
          <t>Juniper Polytechnic</t>
        </is>
      </c>
      <c r="E13" s="19" t="inlineStr">
        <is>
          <t>Platinum</t>
        </is>
      </c>
      <c r="F13" s="19" t="inlineStr">
        <is>
          <t>SD-WAN</t>
        </is>
      </c>
      <c r="G13" s="19" t="inlineStr">
        <is>
          <t>Minor</t>
        </is>
      </c>
      <c r="H13" s="19" t="inlineStr">
        <is>
          <t>Field - Ontario</t>
        </is>
      </c>
      <c r="I13" s="22" t="n">
        <v>46201.92653935185</v>
      </c>
      <c r="J13" s="11">
        <f>ROUND(($B$4-I13)*24,1)</f>
        <v/>
      </c>
      <c r="K13" s="11" t="n">
        <v>24</v>
      </c>
      <c r="L13" s="22" t="n">
        <v>46202.92653935185</v>
      </c>
      <c r="M13" s="19">
        <f>IF($B$4&gt;L13,"yes","no")</f>
        <v/>
      </c>
      <c r="N13" s="23" t="n">
        <v>0.570376</v>
      </c>
      <c r="O13" s="19" t="inlineStr">
        <is>
          <t>high</t>
        </is>
      </c>
    </row>
    <row r="14">
      <c r="A14" s="19" t="n">
        <v>8</v>
      </c>
      <c r="B14" s="19" t="inlineStr">
        <is>
          <t>TT-0199039</t>
        </is>
      </c>
      <c r="C14" s="19" t="inlineStr">
        <is>
          <t>Edge appliance offline</t>
        </is>
      </c>
      <c r="D14" s="19" t="inlineStr">
        <is>
          <t>Riverbend Polytechnic</t>
        </is>
      </c>
      <c r="E14" s="19" t="inlineStr">
        <is>
          <t>Platinum</t>
        </is>
      </c>
      <c r="F14" s="19" t="inlineStr">
        <is>
          <t>SD-WAN</t>
        </is>
      </c>
      <c r="G14" s="19" t="inlineStr">
        <is>
          <t>Low</t>
        </is>
      </c>
      <c r="H14" s="19" t="inlineStr">
        <is>
          <t>Field - West</t>
        </is>
      </c>
      <c r="I14" s="22" t="n">
        <v>46200.30174768518</v>
      </c>
      <c r="J14" s="11">
        <f>ROUND(($B$4-I14)*24,1)</f>
        <v/>
      </c>
      <c r="K14" s="11" t="n">
        <v>72</v>
      </c>
      <c r="L14" s="22" t="n">
        <v>46203.30174768518</v>
      </c>
      <c r="M14" s="19">
        <f>IF($B$4&gt;L14,"yes","no")</f>
        <v/>
      </c>
      <c r="N14" s="23" t="n">
        <v>0.56138</v>
      </c>
      <c r="O14" s="19" t="inlineStr">
        <is>
          <t>high</t>
        </is>
      </c>
    </row>
    <row r="15">
      <c r="A15" s="19" t="n">
        <v>9</v>
      </c>
      <c r="B15" s="19" t="inlineStr">
        <is>
          <t>TT-0199206</t>
        </is>
      </c>
      <c r="C15" s="19" t="inlineStr">
        <is>
          <t>Tunnel down to hub</t>
        </is>
      </c>
      <c r="D15" s="19" t="inlineStr">
        <is>
          <t>Ashford Renewables</t>
        </is>
      </c>
      <c r="E15" s="19" t="inlineStr">
        <is>
          <t>Bronze</t>
        </is>
      </c>
      <c r="F15" s="19" t="inlineStr">
        <is>
          <t>SD-WAN</t>
        </is>
      </c>
      <c r="G15" s="19" t="inlineStr">
        <is>
          <t>Minor</t>
        </is>
      </c>
      <c r="H15" s="19" t="inlineStr">
        <is>
          <t>Field - West</t>
        </is>
      </c>
      <c r="I15" s="22" t="n">
        <v>46201.57027777778</v>
      </c>
      <c r="J15" s="11">
        <f>ROUND(($B$4-I15)*24,1)</f>
        <v/>
      </c>
      <c r="K15" s="11" t="n">
        <v>96</v>
      </c>
      <c r="L15" s="22" t="n">
        <v>46205.57027777778</v>
      </c>
      <c r="M15" s="19">
        <f>IF($B$4&gt;L15,"yes","no")</f>
        <v/>
      </c>
      <c r="N15" s="23" t="n">
        <v>0.5376570000000001</v>
      </c>
      <c r="O15" s="19" t="inlineStr">
        <is>
          <t>high</t>
        </is>
      </c>
    </row>
    <row r="16">
      <c r="A16" s="19" t="n">
        <v>10</v>
      </c>
      <c r="B16" s="19" t="inlineStr">
        <is>
          <t>TT-0195112</t>
        </is>
      </c>
      <c r="C16" s="19" t="inlineStr">
        <is>
          <t>Tunnel down to hub</t>
        </is>
      </c>
      <c r="D16" s="19" t="inlineStr">
        <is>
          <t>Ashford Renewables</t>
        </is>
      </c>
      <c r="E16" s="19" t="inlineStr">
        <is>
          <t>Bronze</t>
        </is>
      </c>
      <c r="F16" s="19" t="inlineStr">
        <is>
          <t>SD-WAN</t>
        </is>
      </c>
      <c r="G16" s="19" t="inlineStr">
        <is>
          <t>Low</t>
        </is>
      </c>
      <c r="H16" s="19" t="inlineStr">
        <is>
          <t>Field - West</t>
        </is>
      </c>
      <c r="I16" s="22" t="n">
        <v>46186.46503472222</v>
      </c>
      <c r="J16" s="11">
        <f>ROUND(($B$4-I16)*24,1)</f>
        <v/>
      </c>
      <c r="K16" s="11" t="n">
        <v>168</v>
      </c>
      <c r="L16" s="22" t="n">
        <v>46193.46503472222</v>
      </c>
      <c r="M16" s="19">
        <f>IF($B$4&gt;L16,"yes","no")</f>
        <v/>
      </c>
      <c r="N16" s="23" t="n">
        <v>0.536654</v>
      </c>
      <c r="O16" s="19" t="inlineStr">
        <is>
          <t>high</t>
        </is>
      </c>
    </row>
    <row r="17">
      <c r="A17" s="19" t="n">
        <v>11</v>
      </c>
      <c r="B17" s="19" t="inlineStr">
        <is>
          <t>TT-0197226</t>
        </is>
      </c>
      <c r="C17" s="19" t="inlineStr">
        <is>
          <t>Storage latency spike</t>
        </is>
      </c>
      <c r="D17" s="19" t="inlineStr">
        <is>
          <t>Juniper Polytechnic</t>
        </is>
      </c>
      <c r="E17" s="19" t="inlineStr">
        <is>
          <t>Platinum</t>
        </is>
      </c>
      <c r="F17" s="19" t="inlineStr">
        <is>
          <t>Managed Cloud</t>
        </is>
      </c>
      <c r="G17" s="19" t="inlineStr">
        <is>
          <t>Low</t>
        </is>
      </c>
      <c r="H17" s="19" t="inlineStr">
        <is>
          <t>Cloud Ops</t>
        </is>
      </c>
      <c r="I17" s="22" t="n">
        <v>46194.40098379629</v>
      </c>
      <c r="J17" s="11">
        <f>ROUND(($B$4-I17)*24,1)</f>
        <v/>
      </c>
      <c r="K17" s="11" t="n">
        <v>72</v>
      </c>
      <c r="L17" s="22" t="n">
        <v>46197.40098379629</v>
      </c>
      <c r="M17" s="19">
        <f>IF($B$4&gt;L17,"yes","no")</f>
        <v/>
      </c>
      <c r="N17" s="23" t="n">
        <v>0.5173</v>
      </c>
      <c r="O17" s="19" t="inlineStr">
        <is>
          <t>high</t>
        </is>
      </c>
    </row>
    <row r="18">
      <c r="A18" s="19" t="n">
        <v>12</v>
      </c>
      <c r="B18" s="19" t="inlineStr">
        <is>
          <t>TT-0199056</t>
        </is>
      </c>
      <c r="C18" s="19" t="inlineStr">
        <is>
          <t>CE router crash</t>
        </is>
      </c>
      <c r="D18" s="19" t="inlineStr">
        <is>
          <t>Highland College</t>
        </is>
      </c>
      <c r="E18" s="19" t="inlineStr">
        <is>
          <t>Platinum</t>
        </is>
      </c>
      <c r="F18" s="19" t="inlineStr">
        <is>
          <t>MPLS WAN</t>
        </is>
      </c>
      <c r="G18" s="19" t="inlineStr">
        <is>
          <t>Low</t>
        </is>
      </c>
      <c r="H18" s="19" t="inlineStr">
        <is>
          <t>Field - West</t>
        </is>
      </c>
      <c r="I18" s="22" t="n">
        <v>46200.50710648148</v>
      </c>
      <c r="J18" s="11">
        <f>ROUND(($B$4-I18)*24,1)</f>
        <v/>
      </c>
      <c r="K18" s="11" t="n">
        <v>72</v>
      </c>
      <c r="L18" s="22" t="n">
        <v>46203.50710648148</v>
      </c>
      <c r="M18" s="19">
        <f>IF($B$4&gt;L18,"yes","no")</f>
        <v/>
      </c>
      <c r="N18" s="23" t="n">
        <v>0.514213</v>
      </c>
      <c r="O18" s="19" t="inlineStr">
        <is>
          <t>high</t>
        </is>
      </c>
    </row>
    <row r="19">
      <c r="A19" s="19" t="n">
        <v>13</v>
      </c>
      <c r="B19" s="19" t="inlineStr">
        <is>
          <t>TT-0197224</t>
        </is>
      </c>
      <c r="C19" s="19" t="inlineStr">
        <is>
          <t>VPN failover not triggering</t>
        </is>
      </c>
      <c r="D19" s="19" t="inlineStr">
        <is>
          <t>Juniper Polytechnic</t>
        </is>
      </c>
      <c r="E19" s="19" t="inlineStr">
        <is>
          <t>Platinum</t>
        </is>
      </c>
      <c r="F19" s="19" t="inlineStr">
        <is>
          <t>SD-WAN</t>
        </is>
      </c>
      <c r="G19" s="19" t="inlineStr">
        <is>
          <t>Low</t>
        </is>
      </c>
      <c r="H19" s="19" t="inlineStr">
        <is>
          <t>Field - Ontario</t>
        </is>
      </c>
      <c r="I19" s="22" t="n">
        <v>46194.31611111111</v>
      </c>
      <c r="J19" s="11">
        <f>ROUND(($B$4-I19)*24,1)</f>
        <v/>
      </c>
      <c r="K19" s="11" t="n">
        <v>72</v>
      </c>
      <c r="L19" s="22" t="n">
        <v>46197.31611111111</v>
      </c>
      <c r="M19" s="19">
        <f>IF($B$4&gt;L19,"yes","no")</f>
        <v/>
      </c>
      <c r="N19" s="23" t="n">
        <v>0.507644</v>
      </c>
      <c r="O19" s="19" t="inlineStr">
        <is>
          <t>high</t>
        </is>
      </c>
    </row>
    <row r="20">
      <c r="A20" s="19" t="n">
        <v>14</v>
      </c>
      <c r="B20" s="19" t="inlineStr">
        <is>
          <t>TT-0199121</t>
        </is>
      </c>
      <c r="C20" s="19" t="inlineStr">
        <is>
          <t>Backup job failed</t>
        </is>
      </c>
      <c r="D20" s="19" t="inlineStr">
        <is>
          <t>Beacon Pipelines</t>
        </is>
      </c>
      <c r="E20" s="19" t="inlineStr">
        <is>
          <t>Bronze</t>
        </is>
      </c>
      <c r="F20" s="19" t="inlineStr">
        <is>
          <t>Managed Cloud</t>
        </is>
      </c>
      <c r="G20" s="19" t="inlineStr">
        <is>
          <t>Low</t>
        </is>
      </c>
      <c r="H20" s="19" t="inlineStr">
        <is>
          <t>Cloud Ops</t>
        </is>
      </c>
      <c r="I20" s="22" t="n">
        <v>46200.79961805556</v>
      </c>
      <c r="J20" s="11">
        <f>ROUND(($B$4-I20)*24,1)</f>
        <v/>
      </c>
      <c r="K20" s="11" t="n">
        <v>168</v>
      </c>
      <c r="L20" s="22" t="n">
        <v>46207.79961805556</v>
      </c>
      <c r="M20" s="19">
        <f>IF($B$4&gt;L20,"yes","no")</f>
        <v/>
      </c>
      <c r="N20" s="23" t="n">
        <v>0.488507</v>
      </c>
      <c r="O20" s="19" t="inlineStr">
        <is>
          <t>high</t>
        </is>
      </c>
    </row>
    <row r="21">
      <c r="A21" s="19" t="n">
        <v>15</v>
      </c>
      <c r="B21" s="19" t="inlineStr">
        <is>
          <t>TT-0199286</t>
        </is>
      </c>
      <c r="C21" s="19" t="inlineStr">
        <is>
          <t>DID not routing</t>
        </is>
      </c>
      <c r="D21" s="19" t="inlineStr">
        <is>
          <t>Lakeview Health Network</t>
        </is>
      </c>
      <c r="E21" s="19" t="inlineStr">
        <is>
          <t>Silver</t>
        </is>
      </c>
      <c r="F21" s="19" t="inlineStr">
        <is>
          <t>Business Voice (SIP)</t>
        </is>
      </c>
      <c r="G21" s="19" t="inlineStr">
        <is>
          <t>Low</t>
        </is>
      </c>
      <c r="H21" s="19" t="inlineStr">
        <is>
          <t>Voice Ops</t>
        </is>
      </c>
      <c r="I21" s="22" t="n">
        <v>46201.99280092592</v>
      </c>
      <c r="J21" s="11">
        <f>ROUND(($B$4-I21)*24,1)</f>
        <v/>
      </c>
      <c r="K21" s="11" t="n">
        <v>120</v>
      </c>
      <c r="L21" s="22" t="n">
        <v>46206.99280092592</v>
      </c>
      <c r="M21" s="19">
        <f>IF($B$4&gt;L21,"yes","no")</f>
        <v/>
      </c>
      <c r="N21" s="23" t="n">
        <v>0.483092</v>
      </c>
      <c r="O21" s="19" t="inlineStr">
        <is>
          <t>high</t>
        </is>
      </c>
    </row>
    <row r="22">
      <c r="A22" s="19" t="n">
        <v>16</v>
      </c>
      <c r="B22" s="19" t="inlineStr">
        <is>
          <t>TT-0199128</t>
        </is>
      </c>
      <c r="C22" s="19" t="inlineStr">
        <is>
          <t>WAN link brownout</t>
        </is>
      </c>
      <c r="D22" s="19" t="inlineStr">
        <is>
          <t>Pioneer Freight Lines</t>
        </is>
      </c>
      <c r="E22" s="19" t="inlineStr">
        <is>
          <t>Silver</t>
        </is>
      </c>
      <c r="F22" s="19" t="inlineStr">
        <is>
          <t>SD-WAN</t>
        </is>
      </c>
      <c r="G22" s="19" t="inlineStr">
        <is>
          <t>Low</t>
        </is>
      </c>
      <c r="H22" s="19" t="inlineStr">
        <is>
          <t>Field - Atlantic</t>
        </is>
      </c>
      <c r="I22" s="22" t="n">
        <v>46200.83690972222</v>
      </c>
      <c r="J22" s="11">
        <f>ROUND(($B$4-I22)*24,1)</f>
        <v/>
      </c>
      <c r="K22" s="11" t="n">
        <v>120</v>
      </c>
      <c r="L22" s="22" t="n">
        <v>46205.83690972222</v>
      </c>
      <c r="M22" s="19">
        <f>IF($B$4&gt;L22,"yes","no")</f>
        <v/>
      </c>
      <c r="N22" s="23" t="n">
        <v>0.475413</v>
      </c>
      <c r="O22" s="19" t="inlineStr">
        <is>
          <t>high</t>
        </is>
      </c>
    </row>
    <row r="23">
      <c r="A23" s="19" t="n">
        <v>17</v>
      </c>
      <c r="B23" s="19" t="inlineStr">
        <is>
          <t>TT-0199287</t>
        </is>
      </c>
      <c r="C23" s="19" t="inlineStr">
        <is>
          <t>High jitter on voice class</t>
        </is>
      </c>
      <c r="D23" s="19" t="inlineStr">
        <is>
          <t>Stonebridge Regional Authority</t>
        </is>
      </c>
      <c r="E23" s="19" t="inlineStr">
        <is>
          <t>Gold</t>
        </is>
      </c>
      <c r="F23" s="19" t="inlineStr">
        <is>
          <t>SD-WAN</t>
        </is>
      </c>
      <c r="G23" s="19" t="inlineStr">
        <is>
          <t>Low</t>
        </is>
      </c>
      <c r="H23" s="19" t="inlineStr">
        <is>
          <t>Field - Atlantic</t>
        </is>
      </c>
      <c r="I23" s="22" t="n">
        <v>46201.99604166667</v>
      </c>
      <c r="J23" s="11">
        <f>ROUND(($B$4-I23)*24,1)</f>
        <v/>
      </c>
      <c r="K23" s="11" t="n">
        <v>96</v>
      </c>
      <c r="L23" s="22" t="n">
        <v>46205.99604166667</v>
      </c>
      <c r="M23" s="19">
        <f>IF($B$4&gt;L23,"yes","no")</f>
        <v/>
      </c>
      <c r="N23" s="23" t="n">
        <v>0.468744</v>
      </c>
      <c r="O23" s="19" t="inlineStr">
        <is>
          <t>high</t>
        </is>
      </c>
    </row>
    <row r="24">
      <c r="A24" s="19" t="n">
        <v>18</v>
      </c>
      <c r="B24" s="19" t="inlineStr">
        <is>
          <t>TT-0195849</t>
        </is>
      </c>
      <c r="C24" s="19" t="inlineStr">
        <is>
          <t>Tunnel down to hub</t>
        </is>
      </c>
      <c r="D24" s="19" t="inlineStr">
        <is>
          <t>Stonebridge Regional Authority</t>
        </is>
      </c>
      <c r="E24" s="19" t="inlineStr">
        <is>
          <t>Gold</t>
        </is>
      </c>
      <c r="F24" s="19" t="inlineStr">
        <is>
          <t>SD-WAN</t>
        </is>
      </c>
      <c r="G24" s="19" t="inlineStr">
        <is>
          <t>Low</t>
        </is>
      </c>
      <c r="H24" s="19" t="inlineStr">
        <is>
          <t>Field - West</t>
        </is>
      </c>
      <c r="I24" s="22" t="n">
        <v>46189.55300925926</v>
      </c>
      <c r="J24" s="11">
        <f>ROUND(($B$4-I24)*24,1)</f>
        <v/>
      </c>
      <c r="K24" s="11" t="n">
        <v>96</v>
      </c>
      <c r="L24" s="22" t="n">
        <v>46193.55300925926</v>
      </c>
      <c r="M24" s="19">
        <f>IF($B$4&gt;L24,"yes","no")</f>
        <v/>
      </c>
      <c r="N24" s="23" t="n">
        <v>0.467825</v>
      </c>
      <c r="O24" s="19" t="inlineStr">
        <is>
          <t>high</t>
        </is>
      </c>
    </row>
    <row r="25">
      <c r="A25" s="19" t="n">
        <v>19</v>
      </c>
      <c r="B25" s="19" t="inlineStr">
        <is>
          <t>TT-0199184</t>
        </is>
      </c>
      <c r="C25" s="19" t="inlineStr">
        <is>
          <t>PE link errors</t>
        </is>
      </c>
      <c r="D25" s="19" t="inlineStr">
        <is>
          <t>Glacier Retail Group</t>
        </is>
      </c>
      <c r="E25" s="19" t="inlineStr">
        <is>
          <t>Gold</t>
        </is>
      </c>
      <c r="F25" s="19" t="inlineStr">
        <is>
          <t>MPLS WAN</t>
        </is>
      </c>
      <c r="G25" s="19" t="inlineStr">
        <is>
          <t>Low</t>
        </is>
      </c>
      <c r="H25" s="19" t="inlineStr">
        <is>
          <t>Field - Quebec</t>
        </is>
      </c>
      <c r="I25" s="22" t="n">
        <v>46201.41976851852</v>
      </c>
      <c r="J25" s="11">
        <f>ROUND(($B$4-I25)*24,1)</f>
        <v/>
      </c>
      <c r="K25" s="11" t="n">
        <v>96</v>
      </c>
      <c r="L25" s="22" t="n">
        <v>46205.41976851852</v>
      </c>
      <c r="M25" s="19">
        <f>IF($B$4&gt;L25,"yes","no")</f>
        <v/>
      </c>
      <c r="N25" s="23" t="n">
        <v>0.4518</v>
      </c>
      <c r="O25" s="19" t="inlineStr">
        <is>
          <t>high</t>
        </is>
      </c>
    </row>
    <row r="26">
      <c r="A26" s="19" t="n">
        <v>20</v>
      </c>
      <c r="B26" s="19" t="inlineStr">
        <is>
          <t>TT-0198918</t>
        </is>
      </c>
      <c r="C26" s="19" t="inlineStr">
        <is>
          <t>Orchestrator sync error</t>
        </is>
      </c>
      <c r="D26" s="19" t="inlineStr">
        <is>
          <t>Pioneer Freight Lines</t>
        </is>
      </c>
      <c r="E26" s="19" t="inlineStr">
        <is>
          <t>Silver</t>
        </is>
      </c>
      <c r="F26" s="19" t="inlineStr">
        <is>
          <t>SD-WAN</t>
        </is>
      </c>
      <c r="G26" s="19" t="inlineStr">
        <is>
          <t>Low</t>
        </is>
      </c>
      <c r="H26" s="19" t="inlineStr">
        <is>
          <t>Field - Atlantic</t>
        </is>
      </c>
      <c r="I26" s="22" t="n">
        <v>46199.74328703704</v>
      </c>
      <c r="J26" s="11">
        <f>ROUND(($B$4-I26)*24,1)</f>
        <v/>
      </c>
      <c r="K26" s="11" t="n">
        <v>120</v>
      </c>
      <c r="L26" s="22" t="n">
        <v>46204.74328703704</v>
      </c>
      <c r="M26" s="19">
        <f>IF($B$4&gt;L26,"yes","no")</f>
        <v/>
      </c>
      <c r="N26" s="23" t="n">
        <v>0.448831</v>
      </c>
      <c r="O26" s="19" t="inlineStr">
        <is>
          <t>high</t>
        </is>
      </c>
    </row>
    <row r="27">
      <c r="A27" s="19" t="n">
        <v>21</v>
      </c>
      <c r="B27" s="19" t="inlineStr">
        <is>
          <t>TT-0199094</t>
        </is>
      </c>
      <c r="C27" s="19" t="inlineStr">
        <is>
          <t>Edge appliance offline</t>
        </is>
      </c>
      <c r="D27" s="19" t="inlineStr">
        <is>
          <t>Pioneer Freight Lines</t>
        </is>
      </c>
      <c r="E27" s="19" t="inlineStr">
        <is>
          <t>Silver</t>
        </is>
      </c>
      <c r="F27" s="19" t="inlineStr">
        <is>
          <t>SD-WAN</t>
        </is>
      </c>
      <c r="G27" s="19" t="inlineStr">
        <is>
          <t>Low</t>
        </is>
      </c>
      <c r="H27" s="19" t="inlineStr">
        <is>
          <t>Field - West</t>
        </is>
      </c>
      <c r="I27" s="22" t="n">
        <v>46200.67746527777</v>
      </c>
      <c r="J27" s="11">
        <f>ROUND(($B$4-I27)*24,1)</f>
        <v/>
      </c>
      <c r="K27" s="11" t="n">
        <v>120</v>
      </c>
      <c r="L27" s="22" t="n">
        <v>46205.67746527777</v>
      </c>
      <c r="M27" s="19">
        <f>IF($B$4&gt;L27,"yes","no")</f>
        <v/>
      </c>
      <c r="N27" s="23" t="n">
        <v>0.439359</v>
      </c>
      <c r="O27" s="19" t="inlineStr">
        <is>
          <t>high</t>
        </is>
      </c>
    </row>
    <row r="28">
      <c r="A28" s="19" t="n">
        <v>22</v>
      </c>
      <c r="B28" s="19" t="inlineStr">
        <is>
          <t>TT-0197242</t>
        </is>
      </c>
      <c r="C28" s="19" t="inlineStr">
        <is>
          <t>E911 address update</t>
        </is>
      </c>
      <c r="D28" s="19" t="inlineStr">
        <is>
          <t>Bluewater Health Network</t>
        </is>
      </c>
      <c r="E28" s="19" t="inlineStr">
        <is>
          <t>Silver</t>
        </is>
      </c>
      <c r="F28" s="19" t="inlineStr">
        <is>
          <t>Business Voice (SIP)</t>
        </is>
      </c>
      <c r="G28" s="19" t="inlineStr">
        <is>
          <t>Low</t>
        </is>
      </c>
      <c r="H28" s="19" t="inlineStr">
        <is>
          <t>Voice Ops</t>
        </is>
      </c>
      <c r="I28" s="22" t="n">
        <v>46194.56792824074</v>
      </c>
      <c r="J28" s="11">
        <f>ROUND(($B$4-I28)*24,1)</f>
        <v/>
      </c>
      <c r="K28" s="11" t="n">
        <v>120</v>
      </c>
      <c r="L28" s="22" t="n">
        <v>46199.56792824074</v>
      </c>
      <c r="M28" s="19">
        <f>IF($B$4&gt;L28,"yes","no")</f>
        <v/>
      </c>
      <c r="N28" s="23" t="n">
        <v>0.436789</v>
      </c>
      <c r="O28" s="19" t="inlineStr">
        <is>
          <t>high</t>
        </is>
      </c>
    </row>
    <row r="29">
      <c r="A29" s="19" t="n">
        <v>23</v>
      </c>
      <c r="B29" s="19" t="inlineStr">
        <is>
          <t>TT-0198473</t>
        </is>
      </c>
      <c r="C29" s="19" t="inlineStr">
        <is>
          <t>Application steering not working</t>
        </is>
      </c>
      <c r="D29" s="19" t="inlineStr">
        <is>
          <t>Ashford Renewables</t>
        </is>
      </c>
      <c r="E29" s="19" t="inlineStr">
        <is>
          <t>Bronze</t>
        </is>
      </c>
      <c r="F29" s="19" t="inlineStr">
        <is>
          <t>SD-WAN</t>
        </is>
      </c>
      <c r="G29" s="19" t="inlineStr">
        <is>
          <t>Low</t>
        </is>
      </c>
      <c r="H29" s="19" t="inlineStr">
        <is>
          <t>Field - West</t>
        </is>
      </c>
      <c r="I29" s="22" t="n">
        <v>46198.56559027778</v>
      </c>
      <c r="J29" s="11">
        <f>ROUND(($B$4-I29)*24,1)</f>
        <v/>
      </c>
      <c r="K29" s="11" t="n">
        <v>168</v>
      </c>
      <c r="L29" s="22" t="n">
        <v>46205.56559027778</v>
      </c>
      <c r="M29" s="19">
        <f>IF($B$4&gt;L29,"yes","no")</f>
        <v/>
      </c>
      <c r="N29" s="23" t="n">
        <v>0.432718</v>
      </c>
      <c r="O29" s="19" t="inlineStr">
        <is>
          <t>high</t>
        </is>
      </c>
    </row>
    <row r="30">
      <c r="A30" s="19" t="n">
        <v>24</v>
      </c>
      <c r="B30" s="19" t="inlineStr">
        <is>
          <t>TT-0199043</t>
        </is>
      </c>
      <c r="C30" s="19" t="inlineStr">
        <is>
          <t>VPN failover not triggering</t>
        </is>
      </c>
      <c r="D30" s="19" t="inlineStr">
        <is>
          <t>Nordic School Board</t>
        </is>
      </c>
      <c r="E30" s="19" t="inlineStr">
        <is>
          <t>Gold</t>
        </is>
      </c>
      <c r="F30" s="19" t="inlineStr">
        <is>
          <t>SD-WAN</t>
        </is>
      </c>
      <c r="G30" s="19" t="inlineStr">
        <is>
          <t>Minor</t>
        </is>
      </c>
      <c r="H30" s="19" t="inlineStr">
        <is>
          <t>Field - Ontario</t>
        </is>
      </c>
      <c r="I30" s="22" t="n">
        <v>46200.38057870371</v>
      </c>
      <c r="J30" s="11">
        <f>ROUND(($B$4-I30)*24,1)</f>
        <v/>
      </c>
      <c r="K30" s="11" t="n">
        <v>48</v>
      </c>
      <c r="L30" s="22" t="n">
        <v>46202.38057870371</v>
      </c>
      <c r="M30" s="19">
        <f>IF($B$4&gt;L30,"yes","no")</f>
        <v/>
      </c>
      <c r="N30" s="23" t="n">
        <v>0.430816</v>
      </c>
      <c r="O30" s="19" t="inlineStr">
        <is>
          <t>high</t>
        </is>
      </c>
    </row>
    <row r="31">
      <c r="A31" s="19" t="n">
        <v>25</v>
      </c>
      <c r="B31" s="19" t="inlineStr">
        <is>
          <t>TT-0199157</t>
        </is>
      </c>
      <c r="C31" s="19" t="inlineStr">
        <is>
          <t>Edge appliance offline</t>
        </is>
      </c>
      <c r="D31" s="19" t="inlineStr">
        <is>
          <t>Glacier Retail Group</t>
        </is>
      </c>
      <c r="E31" s="19" t="inlineStr">
        <is>
          <t>Gold</t>
        </is>
      </c>
      <c r="F31" s="19" t="inlineStr">
        <is>
          <t>SD-WAN</t>
        </is>
      </c>
      <c r="G31" s="19" t="inlineStr">
        <is>
          <t>Minor</t>
        </is>
      </c>
      <c r="H31" s="19" t="inlineStr">
        <is>
          <t>Field - West</t>
        </is>
      </c>
      <c r="I31" s="22" t="n">
        <v>46200.91841435185</v>
      </c>
      <c r="J31" s="11">
        <f>ROUND(($B$4-I31)*24,1)</f>
        <v/>
      </c>
      <c r="K31" s="11" t="n">
        <v>48</v>
      </c>
      <c r="L31" s="22" t="n">
        <v>46202.91841435185</v>
      </c>
      <c r="M31" s="19">
        <f>IF($B$4&gt;L31,"yes","no")</f>
        <v/>
      </c>
      <c r="N31" s="23" t="n">
        <v>0.429203</v>
      </c>
      <c r="O31" s="19" t="inlineStr">
        <is>
          <t>high</t>
        </is>
      </c>
    </row>
    <row r="32">
      <c r="A32" s="19" t="n">
        <v>26</v>
      </c>
      <c r="B32" s="19" t="inlineStr">
        <is>
          <t>TT-0198440</t>
        </is>
      </c>
      <c r="C32" s="19" t="inlineStr">
        <is>
          <t>Orchestrator sync error</t>
        </is>
      </c>
      <c r="D32" s="19" t="inlineStr">
        <is>
          <t>Glacier Retail Group</t>
        </is>
      </c>
      <c r="E32" s="19" t="inlineStr">
        <is>
          <t>Gold</t>
        </is>
      </c>
      <c r="F32" s="19" t="inlineStr">
        <is>
          <t>SD-WAN</t>
        </is>
      </c>
      <c r="G32" s="19" t="inlineStr">
        <is>
          <t>Low</t>
        </is>
      </c>
      <c r="H32" s="19" t="inlineStr">
        <is>
          <t>Field - West</t>
        </is>
      </c>
      <c r="I32" s="22" t="n">
        <v>46198.48854166667</v>
      </c>
      <c r="J32" s="11">
        <f>ROUND(($B$4-I32)*24,1)</f>
        <v/>
      </c>
      <c r="K32" s="11" t="n">
        <v>96</v>
      </c>
      <c r="L32" s="22" t="n">
        <v>46202.48854166667</v>
      </c>
      <c r="M32" s="19">
        <f>IF($B$4&gt;L32,"yes","no")</f>
        <v/>
      </c>
      <c r="N32" s="23" t="n">
        <v>0.427018</v>
      </c>
      <c r="O32" s="19" t="inlineStr">
        <is>
          <t>high</t>
        </is>
      </c>
    </row>
    <row r="33">
      <c r="A33" s="19" t="n">
        <v>27</v>
      </c>
      <c r="B33" s="19" t="inlineStr">
        <is>
          <t>TT-0197984</t>
        </is>
      </c>
      <c r="C33" s="19" t="inlineStr">
        <is>
          <t>Policy push failed</t>
        </is>
      </c>
      <c r="D33" s="19" t="inlineStr">
        <is>
          <t>Heritage College</t>
        </is>
      </c>
      <c r="E33" s="19" t="inlineStr">
        <is>
          <t>Bronze</t>
        </is>
      </c>
      <c r="F33" s="19" t="inlineStr">
        <is>
          <t>SD-WAN</t>
        </is>
      </c>
      <c r="G33" s="19" t="inlineStr">
        <is>
          <t>Low</t>
        </is>
      </c>
      <c r="H33" s="19" t="inlineStr">
        <is>
          <t>Field - Ontario</t>
        </is>
      </c>
      <c r="I33" s="22" t="n">
        <v>46196.85454861111</v>
      </c>
      <c r="J33" s="11">
        <f>ROUND(($B$4-I33)*24,1)</f>
        <v/>
      </c>
      <c r="K33" s="11" t="n">
        <v>168</v>
      </c>
      <c r="L33" s="22" t="n">
        <v>46203.85454861111</v>
      </c>
      <c r="M33" s="19">
        <f>IF($B$4&gt;L33,"yes","no")</f>
        <v/>
      </c>
      <c r="N33" s="23" t="n">
        <v>0.417001</v>
      </c>
      <c r="O33" s="19" t="inlineStr">
        <is>
          <t>high</t>
        </is>
      </c>
    </row>
    <row r="34">
      <c r="A34" s="19" t="n">
        <v>28</v>
      </c>
      <c r="B34" s="19" t="inlineStr">
        <is>
          <t>TT-0199180</t>
        </is>
      </c>
      <c r="C34" s="19" t="inlineStr">
        <is>
          <t>Patch window overrun</t>
        </is>
      </c>
      <c r="D34" s="19" t="inlineStr">
        <is>
          <t>Evergreen Stores Ltd.</t>
        </is>
      </c>
      <c r="E34" s="19" t="inlineStr">
        <is>
          <t>Platinum</t>
        </is>
      </c>
      <c r="F34" s="19" t="inlineStr">
        <is>
          <t>Managed Cloud</t>
        </is>
      </c>
      <c r="G34" s="19" t="inlineStr">
        <is>
          <t>Minor</t>
        </is>
      </c>
      <c r="H34" s="19" t="inlineStr">
        <is>
          <t>Cloud Ops</t>
        </is>
      </c>
      <c r="I34" s="22" t="n">
        <v>46201.38914351852</v>
      </c>
      <c r="J34" s="11">
        <f>ROUND(($B$4-I34)*24,1)</f>
        <v/>
      </c>
      <c r="K34" s="11" t="n">
        <v>24</v>
      </c>
      <c r="L34" s="22" t="n">
        <v>46202.38914351852</v>
      </c>
      <c r="M34" s="19">
        <f>IF($B$4&gt;L34,"yes","no")</f>
        <v/>
      </c>
      <c r="N34" s="23" t="n">
        <v>0.416227</v>
      </c>
      <c r="O34" s="19" t="inlineStr">
        <is>
          <t>high</t>
        </is>
      </c>
    </row>
    <row r="35">
      <c r="A35" s="19" t="n">
        <v>29</v>
      </c>
      <c r="B35" s="19" t="inlineStr">
        <is>
          <t>TT-0198389</t>
        </is>
      </c>
      <c r="C35" s="19" t="inlineStr">
        <is>
          <t>VPN failover not triggering</t>
        </is>
      </c>
      <c r="D35" s="19" t="inlineStr">
        <is>
          <t>Pioneer Freight Lines</t>
        </is>
      </c>
      <c r="E35" s="19" t="inlineStr">
        <is>
          <t>Silver</t>
        </is>
      </c>
      <c r="F35" s="19" t="inlineStr">
        <is>
          <t>SD-WAN</t>
        </is>
      </c>
      <c r="G35" s="19" t="inlineStr">
        <is>
          <t>Minor</t>
        </is>
      </c>
      <c r="H35" s="19" t="inlineStr">
        <is>
          <t>Field - Atlantic</t>
        </is>
      </c>
      <c r="I35" s="22" t="n">
        <v>46198.13047453704</v>
      </c>
      <c r="J35" s="11">
        <f>ROUND(($B$4-I35)*24,1)</f>
        <v/>
      </c>
      <c r="K35" s="11" t="n">
        <v>72</v>
      </c>
      <c r="L35" s="22" t="n">
        <v>46201.13047453704</v>
      </c>
      <c r="M35" s="19">
        <f>IF($B$4&gt;L35,"yes","no")</f>
        <v/>
      </c>
      <c r="N35" s="23" t="n">
        <v>0.410499</v>
      </c>
      <c r="O35" s="19" t="inlineStr">
        <is>
          <t>high</t>
        </is>
      </c>
    </row>
    <row r="36">
      <c r="A36" s="19" t="n">
        <v>30</v>
      </c>
      <c r="B36" s="19" t="inlineStr">
        <is>
          <t>TT-0198721</t>
        </is>
      </c>
      <c r="C36" s="19" t="inlineStr">
        <is>
          <t>BGP session reset</t>
        </is>
      </c>
      <c r="D36" s="19" t="inlineStr">
        <is>
          <t>Juniper Polytechnic</t>
        </is>
      </c>
      <c r="E36" s="19" t="inlineStr">
        <is>
          <t>Platinum</t>
        </is>
      </c>
      <c r="F36" s="19" t="inlineStr">
        <is>
          <t>Dedicated Internet</t>
        </is>
      </c>
      <c r="G36" s="19" t="inlineStr">
        <is>
          <t>Low</t>
        </is>
      </c>
      <c r="H36" s="19" t="inlineStr">
        <is>
          <t>Field - West</t>
        </is>
      </c>
      <c r="I36" s="22" t="n">
        <v>46199.05939814815</v>
      </c>
      <c r="J36" s="11">
        <f>ROUND(($B$4-I36)*24,1)</f>
        <v/>
      </c>
      <c r="K36" s="11" t="n">
        <v>72</v>
      </c>
      <c r="L36" s="22" t="n">
        <v>46202.05939814815</v>
      </c>
      <c r="M36" s="19">
        <f>IF($B$4&gt;L36,"yes","no")</f>
        <v/>
      </c>
      <c r="N36" s="23" t="n">
        <v>0.410465</v>
      </c>
      <c r="O36" s="19" t="inlineStr">
        <is>
          <t>high</t>
        </is>
      </c>
    </row>
    <row r="37">
      <c r="A37" s="19" t="n">
        <v>31</v>
      </c>
      <c r="B37" s="19" t="inlineStr">
        <is>
          <t>TT-0199177</t>
        </is>
      </c>
      <c r="C37" s="19" t="inlineStr">
        <is>
          <t>VPN failover not triggering</t>
        </is>
      </c>
      <c r="D37" s="19" t="inlineStr">
        <is>
          <t>Meridian Distribution</t>
        </is>
      </c>
      <c r="E37" s="19" t="inlineStr">
        <is>
          <t>Platinum</t>
        </is>
      </c>
      <c r="F37" s="19" t="inlineStr">
        <is>
          <t>SD-WAN</t>
        </is>
      </c>
      <c r="G37" s="19" t="inlineStr">
        <is>
          <t>Minor</t>
        </is>
      </c>
      <c r="H37" s="19" t="inlineStr">
        <is>
          <t>Field - Prairies</t>
        </is>
      </c>
      <c r="I37" s="22" t="n">
        <v>46201.21890046296</v>
      </c>
      <c r="J37" s="11">
        <f>ROUND(($B$4-I37)*24,1)</f>
        <v/>
      </c>
      <c r="K37" s="11" t="n">
        <v>24</v>
      </c>
      <c r="L37" s="22" t="n">
        <v>46202.21890046296</v>
      </c>
      <c r="M37" s="19">
        <f>IF($B$4&gt;L37,"yes","no")</f>
        <v/>
      </c>
      <c r="N37" s="23" t="n">
        <v>0.408127</v>
      </c>
      <c r="O37" s="19" t="inlineStr">
        <is>
          <t>high</t>
        </is>
      </c>
    </row>
    <row r="38">
      <c r="A38" s="19" t="n">
        <v>32</v>
      </c>
      <c r="B38" s="19" t="inlineStr">
        <is>
          <t>TT-0199061</t>
        </is>
      </c>
      <c r="C38" s="19" t="inlineStr">
        <is>
          <t>Monitoring agent offline</t>
        </is>
      </c>
      <c r="D38" s="19" t="inlineStr">
        <is>
          <t>Heritage College</t>
        </is>
      </c>
      <c r="E38" s="19" t="inlineStr">
        <is>
          <t>Bronze</t>
        </is>
      </c>
      <c r="F38" s="19" t="inlineStr">
        <is>
          <t>Managed Cloud</t>
        </is>
      </c>
      <c r="G38" s="19" t="inlineStr">
        <is>
          <t>Minor</t>
        </is>
      </c>
      <c r="H38" s="19" t="inlineStr">
        <is>
          <t>Cloud Ops</t>
        </is>
      </c>
      <c r="I38" s="22" t="n">
        <v>46200.52424768519</v>
      </c>
      <c r="J38" s="11">
        <f>ROUND(($B$4-I38)*24,1)</f>
        <v/>
      </c>
      <c r="K38" s="11" t="n">
        <v>96</v>
      </c>
      <c r="L38" s="22" t="n">
        <v>46204.52424768519</v>
      </c>
      <c r="M38" s="19">
        <f>IF($B$4&gt;L38,"yes","no")</f>
        <v/>
      </c>
      <c r="N38" s="23" t="n">
        <v>0.404929</v>
      </c>
      <c r="O38" s="19" t="inlineStr">
        <is>
          <t>high</t>
        </is>
      </c>
    </row>
    <row r="39">
      <c r="A39" s="19" t="n">
        <v>33</v>
      </c>
      <c r="B39" s="19" t="inlineStr">
        <is>
          <t>TT-0198850</t>
        </is>
      </c>
      <c r="C39" s="19" t="inlineStr">
        <is>
          <t>WAN link brownout</t>
        </is>
      </c>
      <c r="D39" s="19" t="inlineStr">
        <is>
          <t>Pioneer Freight Lines</t>
        </is>
      </c>
      <c r="E39" s="19" t="inlineStr">
        <is>
          <t>Silver</t>
        </is>
      </c>
      <c r="F39" s="19" t="inlineStr">
        <is>
          <t>SD-WAN</t>
        </is>
      </c>
      <c r="G39" s="19" t="inlineStr">
        <is>
          <t>Low</t>
        </is>
      </c>
      <c r="H39" s="19" t="inlineStr">
        <is>
          <t>Field - Atlantic</t>
        </is>
      </c>
      <c r="I39" s="22" t="n">
        <v>46199.61679398148</v>
      </c>
      <c r="J39" s="11">
        <f>ROUND(($B$4-I39)*24,1)</f>
        <v/>
      </c>
      <c r="K39" s="11" t="n">
        <v>120</v>
      </c>
      <c r="L39" s="22" t="n">
        <v>46204.61679398148</v>
      </c>
      <c r="M39" s="19">
        <f>IF($B$4&gt;L39,"yes","no")</f>
        <v/>
      </c>
      <c r="N39" s="23" t="n">
        <v>0.404923</v>
      </c>
      <c r="O39" s="19" t="inlineStr">
        <is>
          <t>high</t>
        </is>
      </c>
    </row>
    <row r="40">
      <c r="A40" s="19" t="n">
        <v>34</v>
      </c>
      <c r="B40" s="19" t="inlineStr">
        <is>
          <t>TT-0199222</t>
        </is>
      </c>
      <c r="C40" s="19" t="inlineStr">
        <is>
          <t>Orchestrator sync error</t>
        </is>
      </c>
      <c r="D40" s="19" t="inlineStr">
        <is>
          <t>Cedar Marketplaces</t>
        </is>
      </c>
      <c r="E40" s="19" t="inlineStr">
        <is>
          <t>Bronze</t>
        </is>
      </c>
      <c r="F40" s="19" t="inlineStr">
        <is>
          <t>SD-WAN</t>
        </is>
      </c>
      <c r="G40" s="19" t="inlineStr">
        <is>
          <t>Minor</t>
        </is>
      </c>
      <c r="H40" s="19" t="inlineStr">
        <is>
          <t>Field - West</t>
        </is>
      </c>
      <c r="I40" s="22" t="n">
        <v>46201.62217592593</v>
      </c>
      <c r="J40" s="11">
        <f>ROUND(($B$4-I40)*24,1)</f>
        <v/>
      </c>
      <c r="K40" s="11" t="n">
        <v>96</v>
      </c>
      <c r="L40" s="22" t="n">
        <v>46205.62217592593</v>
      </c>
      <c r="M40" s="19">
        <f>IF($B$4&gt;L40,"yes","no")</f>
        <v/>
      </c>
      <c r="N40" s="23" t="n">
        <v>0.40237</v>
      </c>
      <c r="O40" s="19" t="inlineStr">
        <is>
          <t>high</t>
        </is>
      </c>
    </row>
    <row r="41">
      <c r="A41" s="19" t="n">
        <v>35</v>
      </c>
      <c r="B41" s="19" t="inlineStr">
        <is>
          <t>TT-0199179</t>
        </is>
      </c>
      <c r="C41" s="19" t="inlineStr">
        <is>
          <t>Bandwidth upgrade</t>
        </is>
      </c>
      <c r="D41" s="19" t="inlineStr">
        <is>
          <t>Nordic School Board</t>
        </is>
      </c>
      <c r="E41" s="19" t="inlineStr">
        <is>
          <t>Gold</t>
        </is>
      </c>
      <c r="F41" s="19" t="inlineStr">
        <is>
          <t>MPLS WAN</t>
        </is>
      </c>
      <c r="G41" s="19" t="inlineStr">
        <is>
          <t>Minor</t>
        </is>
      </c>
      <c r="H41" s="19" t="inlineStr">
        <is>
          <t>Field - West</t>
        </is>
      </c>
      <c r="I41" s="22" t="n">
        <v>46201.3819212963</v>
      </c>
      <c r="J41" s="11">
        <f>ROUND(($B$4-I41)*24,1)</f>
        <v/>
      </c>
      <c r="K41" s="11" t="n">
        <v>48</v>
      </c>
      <c r="L41" s="22" t="n">
        <v>46203.3819212963</v>
      </c>
      <c r="M41" s="19">
        <f>IF($B$4&gt;L41,"yes","no")</f>
        <v/>
      </c>
      <c r="N41" s="23" t="n">
        <v>0.40166</v>
      </c>
      <c r="O41" s="19" t="inlineStr">
        <is>
          <t>high</t>
        </is>
      </c>
    </row>
    <row r="42">
      <c r="A42" s="19" t="n">
        <v>36</v>
      </c>
      <c r="B42" s="19" t="inlineStr">
        <is>
          <t>TT-0199164</t>
        </is>
      </c>
      <c r="C42" s="19" t="inlineStr">
        <is>
          <t>QoS marking dropped</t>
        </is>
      </c>
      <c r="D42" s="19" t="inlineStr">
        <is>
          <t>Coastal Energy</t>
        </is>
      </c>
      <c r="E42" s="19" t="inlineStr">
        <is>
          <t>Gold</t>
        </is>
      </c>
      <c r="F42" s="19" t="inlineStr">
        <is>
          <t>MPLS WAN</t>
        </is>
      </c>
      <c r="G42" s="19" t="inlineStr">
        <is>
          <t>Minor</t>
        </is>
      </c>
      <c r="H42" s="19" t="inlineStr">
        <is>
          <t>Field - Atlantic</t>
        </is>
      </c>
      <c r="I42" s="22" t="n">
        <v>46201.03758101852</v>
      </c>
      <c r="J42" s="11">
        <f>ROUND(($B$4-I42)*24,1)</f>
        <v/>
      </c>
      <c r="K42" s="11" t="n">
        <v>48</v>
      </c>
      <c r="L42" s="22" t="n">
        <v>46203.03758101852</v>
      </c>
      <c r="M42" s="19">
        <f>IF($B$4&gt;L42,"yes","no")</f>
        <v/>
      </c>
      <c r="N42" s="23" t="n">
        <v>0.400557</v>
      </c>
      <c r="O42" s="19" t="inlineStr">
        <is>
          <t>high</t>
        </is>
      </c>
    </row>
    <row r="43">
      <c r="A43" s="19" t="n">
        <v>37</v>
      </c>
      <c r="B43" s="19" t="inlineStr">
        <is>
          <t>TT-0199245</t>
        </is>
      </c>
      <c r="C43" s="19" t="inlineStr">
        <is>
          <t>Policy push failed</t>
        </is>
      </c>
      <c r="D43" s="19" t="inlineStr">
        <is>
          <t>Pioneer Freight Lines</t>
        </is>
      </c>
      <c r="E43" s="19" t="inlineStr">
        <is>
          <t>Silver</t>
        </is>
      </c>
      <c r="F43" s="19" t="inlineStr">
        <is>
          <t>SD-WAN</t>
        </is>
      </c>
      <c r="G43" s="19" t="inlineStr">
        <is>
          <t>Major</t>
        </is>
      </c>
      <c r="H43" s="19" t="inlineStr">
        <is>
          <t>Field - Atlantic</t>
        </is>
      </c>
      <c r="I43" s="22" t="n">
        <v>46201.72429398148</v>
      </c>
      <c r="J43" s="11">
        <f>ROUND(($B$4-I43)*24,1)</f>
        <v/>
      </c>
      <c r="K43" s="11" t="n">
        <v>24</v>
      </c>
      <c r="L43" s="22" t="n">
        <v>46202.72429398148</v>
      </c>
      <c r="M43" s="19">
        <f>IF($B$4&gt;L43,"yes","no")</f>
        <v/>
      </c>
      <c r="N43" s="23" t="n">
        <v>0.395346</v>
      </c>
      <c r="O43" s="19" t="inlineStr">
        <is>
          <t>high</t>
        </is>
      </c>
    </row>
    <row r="44">
      <c r="A44" s="19" t="n">
        <v>38</v>
      </c>
      <c r="B44" s="19" t="inlineStr">
        <is>
          <t>TT-0199049</t>
        </is>
      </c>
      <c r="C44" s="19" t="inlineStr">
        <is>
          <t>Snapshot restore request</t>
        </is>
      </c>
      <c r="D44" s="19" t="inlineStr">
        <is>
          <t>Frontier Freight Lines</t>
        </is>
      </c>
      <c r="E44" s="19" t="inlineStr">
        <is>
          <t>Gold</t>
        </is>
      </c>
      <c r="F44" s="19" t="inlineStr">
        <is>
          <t>Managed Cloud</t>
        </is>
      </c>
      <c r="G44" s="19" t="inlineStr">
        <is>
          <t>Low</t>
        </is>
      </c>
      <c r="H44" s="19" t="inlineStr">
        <is>
          <t>Cloud Ops</t>
        </is>
      </c>
      <c r="I44" s="22" t="n">
        <v>46200.46009259259</v>
      </c>
      <c r="J44" s="11">
        <f>ROUND(($B$4-I44)*24,1)</f>
        <v/>
      </c>
      <c r="K44" s="11" t="n">
        <v>96</v>
      </c>
      <c r="L44" s="22" t="n">
        <v>46204.46009259259</v>
      </c>
      <c r="M44" s="19">
        <f>IF($B$4&gt;L44,"yes","no")</f>
        <v/>
      </c>
      <c r="N44" s="23" t="n">
        <v>0.393051</v>
      </c>
      <c r="O44" s="19" t="inlineStr">
        <is>
          <t>high</t>
        </is>
      </c>
    </row>
    <row r="45">
      <c r="A45" s="19" t="n">
        <v>39</v>
      </c>
      <c r="B45" s="19" t="inlineStr">
        <is>
          <t>TT-0197001</t>
        </is>
      </c>
      <c r="C45" s="19" t="inlineStr">
        <is>
          <t>Orchestrator sync error</t>
        </is>
      </c>
      <c r="D45" s="19" t="inlineStr">
        <is>
          <t>Cedar Marketplaces</t>
        </is>
      </c>
      <c r="E45" s="19" t="inlineStr">
        <is>
          <t>Bronze</t>
        </is>
      </c>
      <c r="F45" s="19" t="inlineStr">
        <is>
          <t>SD-WAN</t>
        </is>
      </c>
      <c r="G45" s="19" t="inlineStr">
        <is>
          <t>Low</t>
        </is>
      </c>
      <c r="H45" s="19" t="inlineStr">
        <is>
          <t>Field - West</t>
        </is>
      </c>
      <c r="I45" s="22" t="n">
        <v>46192.83363425926</v>
      </c>
      <c r="J45" s="11">
        <f>ROUND(($B$4-I45)*24,1)</f>
        <v/>
      </c>
      <c r="K45" s="11" t="n">
        <v>168</v>
      </c>
      <c r="L45" s="22" t="n">
        <v>46199.83363425926</v>
      </c>
      <c r="M45" s="19">
        <f>IF($B$4&gt;L45,"yes","no")</f>
        <v/>
      </c>
      <c r="N45" s="23" t="n">
        <v>0.390533</v>
      </c>
      <c r="O45" s="19" t="inlineStr">
        <is>
          <t>high</t>
        </is>
      </c>
    </row>
    <row r="46">
      <c r="A46" s="19" t="n">
        <v>40</v>
      </c>
      <c r="B46" s="19" t="inlineStr">
        <is>
          <t>TT-0199111</t>
        </is>
      </c>
      <c r="C46" s="19" t="inlineStr">
        <is>
          <t>High latency to cloud provider</t>
        </is>
      </c>
      <c r="D46" s="19" t="inlineStr">
        <is>
          <t>Lighthouse Manufacturing</t>
        </is>
      </c>
      <c r="E46" s="19" t="inlineStr">
        <is>
          <t>Gold</t>
        </is>
      </c>
      <c r="F46" s="19" t="inlineStr">
        <is>
          <t>Dedicated Internet</t>
        </is>
      </c>
      <c r="G46" s="19" t="inlineStr">
        <is>
          <t>Low</t>
        </is>
      </c>
      <c r="H46" s="19" t="inlineStr">
        <is>
          <t>Field - Atlantic</t>
        </is>
      </c>
      <c r="I46" s="22" t="n">
        <v>46200.74021990741</v>
      </c>
      <c r="J46" s="11">
        <f>ROUND(($B$4-I46)*24,1)</f>
        <v/>
      </c>
      <c r="K46" s="11" t="n">
        <v>96</v>
      </c>
      <c r="L46" s="22" t="n">
        <v>46204.74021990741</v>
      </c>
      <c r="M46" s="19">
        <f>IF($B$4&gt;L46,"yes","no")</f>
        <v/>
      </c>
      <c r="N46" s="23" t="n">
        <v>0.389397</v>
      </c>
      <c r="O46" s="19" t="inlineStr">
        <is>
          <t>high</t>
        </is>
      </c>
    </row>
    <row r="47">
      <c r="A47" s="19" t="n">
        <v>41</v>
      </c>
      <c r="B47" s="19" t="inlineStr">
        <is>
          <t>TT-0198701</t>
        </is>
      </c>
      <c r="C47" s="19" t="inlineStr">
        <is>
          <t>VPN failover not triggering</t>
        </is>
      </c>
      <c r="D47" s="19" t="inlineStr">
        <is>
          <t>Coastal Energy</t>
        </is>
      </c>
      <c r="E47" s="19" t="inlineStr">
        <is>
          <t>Gold</t>
        </is>
      </c>
      <c r="F47" s="19" t="inlineStr">
        <is>
          <t>SD-WAN</t>
        </is>
      </c>
      <c r="G47" s="19" t="inlineStr">
        <is>
          <t>Low</t>
        </is>
      </c>
      <c r="H47" s="19" t="inlineStr">
        <is>
          <t>Field - Atlantic</t>
        </is>
      </c>
      <c r="I47" s="22" t="n">
        <v>46198.95048611111</v>
      </c>
      <c r="J47" s="11">
        <f>ROUND(($B$4-I47)*24,1)</f>
        <v/>
      </c>
      <c r="K47" s="11" t="n">
        <v>96</v>
      </c>
      <c r="L47" s="22" t="n">
        <v>46202.95048611111</v>
      </c>
      <c r="M47" s="19">
        <f>IF($B$4&gt;L47,"yes","no")</f>
        <v/>
      </c>
      <c r="N47" s="23" t="n">
        <v>0.38852</v>
      </c>
      <c r="O47" s="19" t="inlineStr">
        <is>
          <t>high</t>
        </is>
      </c>
    </row>
    <row r="48">
      <c r="A48" s="19" t="n">
        <v>42</v>
      </c>
      <c r="B48" s="19" t="inlineStr">
        <is>
          <t>TT-0198072</t>
        </is>
      </c>
      <c r="C48" s="19" t="inlineStr">
        <is>
          <t>Voicemail not delivering</t>
        </is>
      </c>
      <c r="D48" s="19" t="inlineStr">
        <is>
          <t>Pioneer Freight Lines</t>
        </is>
      </c>
      <c r="E48" s="19" t="inlineStr">
        <is>
          <t>Silver</t>
        </is>
      </c>
      <c r="F48" s="19" t="inlineStr">
        <is>
          <t>Business Voice (SIP)</t>
        </is>
      </c>
      <c r="G48" s="19" t="inlineStr">
        <is>
          <t>Low</t>
        </is>
      </c>
      <c r="H48" s="19" t="inlineStr">
        <is>
          <t>Voice Ops</t>
        </is>
      </c>
      <c r="I48" s="22" t="n">
        <v>46197.39071759259</v>
      </c>
      <c r="J48" s="11">
        <f>ROUND(($B$4-I48)*24,1)</f>
        <v/>
      </c>
      <c r="K48" s="11" t="n">
        <v>120</v>
      </c>
      <c r="L48" s="22" t="n">
        <v>46202.39071759259</v>
      </c>
      <c r="M48" s="19">
        <f>IF($B$4&gt;L48,"yes","no")</f>
        <v/>
      </c>
      <c r="N48" s="23" t="n">
        <v>0.384553</v>
      </c>
      <c r="O48" s="19" t="inlineStr">
        <is>
          <t>high</t>
        </is>
      </c>
    </row>
    <row r="49">
      <c r="A49" s="19" t="n">
        <v>43</v>
      </c>
      <c r="B49" s="19" t="inlineStr">
        <is>
          <t>TT-0199120</t>
        </is>
      </c>
      <c r="C49" s="19" t="inlineStr">
        <is>
          <t>High jitter on voice class</t>
        </is>
      </c>
      <c r="D49" s="19" t="inlineStr">
        <is>
          <t>Pioneer Freight Lines</t>
        </is>
      </c>
      <c r="E49" s="19" t="inlineStr">
        <is>
          <t>Silver</t>
        </is>
      </c>
      <c r="F49" s="19" t="inlineStr">
        <is>
          <t>SD-WAN</t>
        </is>
      </c>
      <c r="G49" s="19" t="inlineStr">
        <is>
          <t>Low</t>
        </is>
      </c>
      <c r="H49" s="19" t="inlineStr">
        <is>
          <t>Field - West</t>
        </is>
      </c>
      <c r="I49" s="22" t="n">
        <v>46200.78940972222</v>
      </c>
      <c r="J49" s="11">
        <f>ROUND(($B$4-I49)*24,1)</f>
        <v/>
      </c>
      <c r="K49" s="11" t="n">
        <v>120</v>
      </c>
      <c r="L49" s="22" t="n">
        <v>46205.78940972222</v>
      </c>
      <c r="M49" s="19">
        <f>IF($B$4&gt;L49,"yes","no")</f>
        <v/>
      </c>
      <c r="N49" s="23" t="n">
        <v>0.380093</v>
      </c>
      <c r="O49" s="19" t="inlineStr">
        <is>
          <t>high</t>
        </is>
      </c>
    </row>
    <row r="50">
      <c r="A50" s="19" t="n">
        <v>44</v>
      </c>
      <c r="B50" s="19" t="inlineStr">
        <is>
          <t>TT-0199103</t>
        </is>
      </c>
      <c r="C50" s="19" t="inlineStr">
        <is>
          <t>BGP session reset</t>
        </is>
      </c>
      <c r="D50" s="19" t="inlineStr">
        <is>
          <t>Trillium Medical Centres</t>
        </is>
      </c>
      <c r="E50" s="19" t="inlineStr">
        <is>
          <t>Bronze</t>
        </is>
      </c>
      <c r="F50" s="19" t="inlineStr">
        <is>
          <t>Dedicated Internet</t>
        </is>
      </c>
      <c r="G50" s="19" t="inlineStr">
        <is>
          <t>Minor</t>
        </is>
      </c>
      <c r="H50" s="19" t="inlineStr">
        <is>
          <t>Field - West</t>
        </is>
      </c>
      <c r="I50" s="22" t="n">
        <v>46200.71583333334</v>
      </c>
      <c r="J50" s="11">
        <f>ROUND(($B$4-I50)*24,1)</f>
        <v/>
      </c>
      <c r="K50" s="11" t="n">
        <v>96</v>
      </c>
      <c r="L50" s="22" t="n">
        <v>46204.71583333334</v>
      </c>
      <c r="M50" s="19">
        <f>IF($B$4&gt;L50,"yes","no")</f>
        <v/>
      </c>
      <c r="N50" s="23" t="n">
        <v>0.372992</v>
      </c>
      <c r="O50" s="19" t="inlineStr">
        <is>
          <t>high</t>
        </is>
      </c>
    </row>
    <row r="51">
      <c r="A51" s="19" t="n">
        <v>45</v>
      </c>
      <c r="B51" s="19" t="inlineStr">
        <is>
          <t>TT-0199046</t>
        </is>
      </c>
      <c r="C51" s="19" t="inlineStr">
        <is>
          <t>Hypervisor host alarm</t>
        </is>
      </c>
      <c r="D51" s="19" t="inlineStr">
        <is>
          <t>Prairie Health Network</t>
        </is>
      </c>
      <c r="E51" s="19" t="inlineStr">
        <is>
          <t>Silver</t>
        </is>
      </c>
      <c r="F51" s="19" t="inlineStr">
        <is>
          <t>Managed Cloud</t>
        </is>
      </c>
      <c r="G51" s="19" t="inlineStr">
        <is>
          <t>Low</t>
        </is>
      </c>
      <c r="H51" s="19" t="inlineStr">
        <is>
          <t>Cloud Ops</t>
        </is>
      </c>
      <c r="I51" s="22" t="n">
        <v>46200.43836805555</v>
      </c>
      <c r="J51" s="11">
        <f>ROUND(($B$4-I51)*24,1)</f>
        <v/>
      </c>
      <c r="K51" s="11" t="n">
        <v>120</v>
      </c>
      <c r="L51" s="22" t="n">
        <v>46205.43836805555</v>
      </c>
      <c r="M51" s="19">
        <f>IF($B$4&gt;L51,"yes","no")</f>
        <v/>
      </c>
      <c r="N51" s="23" t="n">
        <v>0.370018</v>
      </c>
      <c r="O51" s="19" t="inlineStr">
        <is>
          <t>high</t>
        </is>
      </c>
    </row>
    <row r="52">
      <c r="A52" s="19" t="n">
        <v>46</v>
      </c>
      <c r="B52" s="19" t="inlineStr">
        <is>
          <t>TT-0197309</t>
        </is>
      </c>
      <c r="C52" s="19" t="inlineStr">
        <is>
          <t>Circuit down</t>
        </is>
      </c>
      <c r="D52" s="19" t="inlineStr">
        <is>
          <t>Silverline Learning Trust</t>
        </is>
      </c>
      <c r="E52" s="19" t="inlineStr">
        <is>
          <t>Bronze</t>
        </is>
      </c>
      <c r="F52" s="19" t="inlineStr">
        <is>
          <t>Dedicated Internet</t>
        </is>
      </c>
      <c r="G52" s="19" t="inlineStr">
        <is>
          <t>Low</t>
        </is>
      </c>
      <c r="H52" s="19" t="inlineStr">
        <is>
          <t>Field - Ontario</t>
        </is>
      </c>
      <c r="I52" s="22" t="n">
        <v>46194.88550925926</v>
      </c>
      <c r="J52" s="11">
        <f>ROUND(($B$4-I52)*24,1)</f>
        <v/>
      </c>
      <c r="K52" s="11" t="n">
        <v>168</v>
      </c>
      <c r="L52" s="22" t="n">
        <v>46201.88550925926</v>
      </c>
      <c r="M52" s="19">
        <f>IF($B$4&gt;L52,"yes","no")</f>
        <v/>
      </c>
      <c r="N52" s="23" t="n">
        <v>0.368371</v>
      </c>
      <c r="O52" s="19" t="inlineStr">
        <is>
          <t>high</t>
        </is>
      </c>
    </row>
    <row r="53">
      <c r="A53" s="19" t="n">
        <v>47</v>
      </c>
      <c r="B53" s="19" t="inlineStr">
        <is>
          <t>TT-0199257</t>
        </is>
      </c>
      <c r="C53" s="19" t="inlineStr">
        <is>
          <t>Tunnel down to hub</t>
        </is>
      </c>
      <c r="D53" s="19" t="inlineStr">
        <is>
          <t>Harbour Renewables</t>
        </is>
      </c>
      <c r="E53" s="19" t="inlineStr">
        <is>
          <t>Silver</t>
        </is>
      </c>
      <c r="F53" s="19" t="inlineStr">
        <is>
          <t>SD-WAN</t>
        </is>
      </c>
      <c r="G53" s="19" t="inlineStr">
        <is>
          <t>Minor</t>
        </is>
      </c>
      <c r="H53" s="19" t="inlineStr">
        <is>
          <t>Field - Ontario</t>
        </is>
      </c>
      <c r="I53" s="22" t="n">
        <v>46201.77959490741</v>
      </c>
      <c r="J53" s="11">
        <f>ROUND(($B$4-I53)*24,1)</f>
        <v/>
      </c>
      <c r="K53" s="11" t="n">
        <v>72</v>
      </c>
      <c r="L53" s="22" t="n">
        <v>46204.77959490741</v>
      </c>
      <c r="M53" s="19">
        <f>IF($B$4&gt;L53,"yes","no")</f>
        <v/>
      </c>
      <c r="N53" s="23" t="n">
        <v>0.360856</v>
      </c>
      <c r="O53" s="19" t="inlineStr">
        <is>
          <t>high</t>
        </is>
      </c>
    </row>
    <row r="54">
      <c r="A54" s="19" t="n">
        <v>48</v>
      </c>
      <c r="B54" s="19" t="inlineStr">
        <is>
          <t>TT-0197747</t>
        </is>
      </c>
      <c r="C54" s="19" t="inlineStr">
        <is>
          <t>Policy push failed</t>
        </is>
      </c>
      <c r="D54" s="19" t="inlineStr">
        <is>
          <t>Prairie Health Network</t>
        </is>
      </c>
      <c r="E54" s="19" t="inlineStr">
        <is>
          <t>Silver</t>
        </is>
      </c>
      <c r="F54" s="19" t="inlineStr">
        <is>
          <t>SD-WAN</t>
        </is>
      </c>
      <c r="G54" s="19" t="inlineStr">
        <is>
          <t>Minor</t>
        </is>
      </c>
      <c r="H54" s="19" t="inlineStr">
        <is>
          <t>Field - West</t>
        </is>
      </c>
      <c r="I54" s="22" t="n">
        <v>46196.45552083333</v>
      </c>
      <c r="J54" s="11">
        <f>ROUND(($B$4-I54)*24,1)</f>
        <v/>
      </c>
      <c r="K54" s="11" t="n">
        <v>72</v>
      </c>
      <c r="L54" s="22" t="n">
        <v>46199.45552083333</v>
      </c>
      <c r="M54" s="19">
        <f>IF($B$4&gt;L54,"yes","no")</f>
        <v/>
      </c>
      <c r="N54" s="23" t="n">
        <v>0.359723</v>
      </c>
      <c r="O54" s="19" t="inlineStr">
        <is>
          <t>high</t>
        </is>
      </c>
    </row>
    <row r="55">
      <c r="A55" s="19" t="n">
        <v>49</v>
      </c>
      <c r="B55" s="19" t="inlineStr">
        <is>
          <t>TT-0198368</t>
        </is>
      </c>
      <c r="C55" s="19" t="inlineStr">
        <is>
          <t>Circuit down</t>
        </is>
      </c>
      <c r="D55" s="19" t="inlineStr">
        <is>
          <t>Pioneer Freight Lines</t>
        </is>
      </c>
      <c r="E55" s="19" t="inlineStr">
        <is>
          <t>Silver</t>
        </is>
      </c>
      <c r="F55" s="19" t="inlineStr">
        <is>
          <t>Dedicated Internet</t>
        </is>
      </c>
      <c r="G55" s="19" t="inlineStr">
        <is>
          <t>Low</t>
        </is>
      </c>
      <c r="H55" s="19" t="inlineStr">
        <is>
          <t>Field - Ontario</t>
        </is>
      </c>
      <c r="I55" s="22" t="n">
        <v>46198.0490625</v>
      </c>
      <c r="J55" s="11">
        <f>ROUND(($B$4-I55)*24,1)</f>
        <v/>
      </c>
      <c r="K55" s="11" t="n">
        <v>120</v>
      </c>
      <c r="L55" s="22" t="n">
        <v>46203.0490625</v>
      </c>
      <c r="M55" s="19">
        <f>IF($B$4&gt;L55,"yes","no")</f>
        <v/>
      </c>
      <c r="N55" s="23" t="n">
        <v>0.35485</v>
      </c>
      <c r="O55" s="19" t="inlineStr">
        <is>
          <t>high</t>
        </is>
      </c>
    </row>
    <row r="56">
      <c r="A56" s="19" t="n">
        <v>50</v>
      </c>
      <c r="B56" s="19" t="inlineStr">
        <is>
          <t>TT-0199038</t>
        </is>
      </c>
      <c r="C56" s="19" t="inlineStr">
        <is>
          <t>CPE unreachable</t>
        </is>
      </c>
      <c r="D56" s="19" t="inlineStr">
        <is>
          <t>Evergreen Stores Ltd.</t>
        </is>
      </c>
      <c r="E56" s="19" t="inlineStr">
        <is>
          <t>Platinum</t>
        </is>
      </c>
      <c r="F56" s="19" t="inlineStr">
        <is>
          <t>Dedicated Internet</t>
        </is>
      </c>
      <c r="G56" s="19" t="inlineStr">
        <is>
          <t>Low</t>
        </is>
      </c>
      <c r="H56" s="19" t="inlineStr">
        <is>
          <t>Field - Ontario</t>
        </is>
      </c>
      <c r="I56" s="22" t="n">
        <v>46200.2849074074</v>
      </c>
      <c r="J56" s="11">
        <f>ROUND(($B$4-I56)*24,1)</f>
        <v/>
      </c>
      <c r="K56" s="11" t="n">
        <v>72</v>
      </c>
      <c r="L56" s="22" t="n">
        <v>46203.2849074074</v>
      </c>
      <c r="M56" s="19">
        <f>IF($B$4&gt;L56,"yes","no")</f>
        <v/>
      </c>
      <c r="N56" s="23" t="n">
        <v>0.354432</v>
      </c>
      <c r="O56" s="19" t="inlineStr">
        <is>
          <t>high</t>
        </is>
      </c>
    </row>
  </sheetData>
  <autoFilter ref="A6:O56"/>
  <conditionalFormatting sqref="N7:N56">
    <cfRule type="colorScale" priority="1">
      <colorScale>
        <cfvo type="num" val="0"/>
        <cfvo type="num" val="1"/>
        <color rgb="00FFFFFF"/>
        <color rgb="00C00000"/>
      </colorScale>
    </cfRule>
  </conditionalFormatting>
  <conditionalFormatting sqref="M7:M56">
    <cfRule type="cellIs" priority="2" operator="equal" dxfId="1">
      <formula>"yes"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Notes, definitions and provenance</t>
        </is>
      </c>
    </row>
    <row r="3">
      <c r="A3" s="24" t="inlineStr">
        <is>
          <t>SYNTHETIC DATA</t>
        </is>
      </c>
      <c r="B3" t="inlineStr">
        <is>
          <t>Every customer, site, service, outage and ticket in this workbook was generated by slawatch from a seed. Nothing here describes a real company, network or ticket system.</t>
        </is>
      </c>
    </row>
    <row r="5">
      <c r="A5" s="13" t="inlineStr">
        <is>
          <t>Generated at (UTC)</t>
        </is>
      </c>
      <c r="B5" s="25" t="inlineStr">
        <is>
          <t>2026-09-16T21:45:56+00:00</t>
        </is>
      </c>
    </row>
    <row r="6">
      <c r="A6" s="13" t="inlineStr">
        <is>
          <t>Generator</t>
        </is>
      </c>
      <c r="B6" s="25" t="inlineStr">
        <is>
          <t>slawatch-report 0.1.0 (openpyxl)</t>
        </is>
      </c>
    </row>
    <row r="7">
      <c r="A7" s="13" t="inlineStr">
        <is>
          <t>Data source</t>
        </is>
      </c>
      <c r="B7" s="25" t="inlineStr">
        <is>
          <t>PostgreSQL postgresql+psycopg://slawatch:***@localhost:5432/slawatch</t>
        </is>
      </c>
    </row>
    <row r="8">
      <c r="A8" s="13" t="inlineStr">
        <is>
          <t>Views used</t>
        </is>
      </c>
      <c r="B8" s="25" t="inlineStr">
        <is>
          <t>v_weekly_kpi, v_weekly_kpi_by_customer, v_weekly_kpi_by_service, f_open_tickets(as_of) - see sql/views/20_backlog_ageing.sql and sql/views/70_weekly_kpi.sql</t>
        </is>
      </c>
    </row>
    <row r="9">
      <c r="A9" s="13" t="inlineStr">
        <is>
          <t>Load snapshot (UTC)</t>
        </is>
      </c>
      <c r="B9" s="25" t="inlineStr">
        <is>
          <t>2026-07-01 00:00:00</t>
        </is>
      </c>
    </row>
    <row r="10">
      <c r="A10" s="13" t="inlineStr">
        <is>
          <t>Report week</t>
        </is>
      </c>
      <c r="B10" s="25" t="inlineStr">
        <is>
          <t>Monday 2026-06-22 00:00 to Sunday 2026-06-28 24:00 UTC</t>
        </is>
      </c>
    </row>
    <row r="11">
      <c r="A11" s="13" t="inlineStr">
        <is>
          <t>Backlog snapshot</t>
        </is>
      </c>
      <c r="B11" s="25" t="inlineStr">
        <is>
          <t>2026-06-29 00:00:00 UTC (the Monday after the week)</t>
        </is>
      </c>
    </row>
    <row r="12">
      <c r="A12" s="13" t="inlineStr">
        <is>
          <t>Model version</t>
        </is>
      </c>
      <c r="B12" s="25" t="inlineStr">
        <is>
          <t>0.1.0</t>
        </is>
      </c>
    </row>
    <row r="13">
      <c r="A13" s="13" t="inlineStr"/>
      <c r="B13" s="25" t="inlineStr"/>
    </row>
    <row r="14">
      <c r="A14" s="26" t="inlineStr">
        <is>
          <t>Definitions</t>
        </is>
      </c>
      <c r="B14" s="25" t="inlineStr"/>
    </row>
    <row r="15">
      <c r="A15" s="13" t="inlineStr">
        <is>
          <t>Tickets opened</t>
        </is>
      </c>
      <c r="B15" s="25" t="inlineStr">
        <is>
          <t>Tickets created during the week. Cancelled tickets are excluded from every figure in this workbook.</t>
        </is>
      </c>
    </row>
    <row r="16">
      <c r="A16" s="13" t="inlineStr">
        <is>
          <t>Tickets resolved</t>
        </is>
      </c>
      <c r="B16" s="25" t="inlineStr">
        <is>
          <t>Tickets whose final resolution falls in the week (reopened tickets count at their last resolution).</t>
        </is>
      </c>
    </row>
    <row r="17">
      <c r="A17" s="13" t="inlineStr">
        <is>
          <t>SLA compliance</t>
        </is>
      </c>
      <c r="B17" s="25" t="inlineStr">
        <is>
          <t>1 - breaches / resolved, on the tickets resolved in the week (resolution-week basis), so the latest week is never an unfinished cohort. A breach is a final resolution after the contracted target for the customer tier x severity.</t>
        </is>
      </c>
    </row>
    <row r="18">
      <c r="A18" s="13" t="inlineStr">
        <is>
          <t>SLA breaches</t>
        </is>
      </c>
      <c r="B18" s="25" t="inlineStr">
        <is>
          <t>Resolved-in-week tickets whose resolution time exceeded the target.</t>
        </is>
      </c>
    </row>
    <row r="19">
      <c r="A19" s="13" t="inlineStr">
        <is>
          <t>MTTR / p50 / p90</t>
        </is>
      </c>
      <c r="B19" s="25" t="inlineStr">
        <is>
          <t>Mean, median and 90th percentile of resolution hours over the tickets resolved in the week.</t>
        </is>
      </c>
    </row>
    <row r="20">
      <c r="A20" s="13" t="inlineStr">
        <is>
          <t>Open backlog</t>
        </is>
      </c>
      <c r="B20" s="25" t="inlineStr">
        <is>
          <t>Tickets created at or before the backlog snapshot and not yet resolved or cancelled at that moment (same rule as f_backlog_ageing).</t>
        </is>
      </c>
    </row>
    <row r="21">
      <c r="A21" s="13" t="inlineStr">
        <is>
          <t>Backlog aged over the SLA</t>
        </is>
      </c>
      <c r="B21" s="25" t="inlineStr">
        <is>
          <t>Open tickets already past their expected resolution date at the snapshot ('past due').</t>
        </is>
      </c>
    </row>
    <row r="22">
      <c r="A22" s="13" t="inlineStr">
        <is>
          <t>Age bands</t>
        </is>
      </c>
      <c r="B22" s="25" t="inlineStr">
        <is>
          <t>0-24h, 1-3d, 3-7d, 7-30d, 30d+ of elapsed time since creation.</t>
        </is>
      </c>
    </row>
    <row r="23">
      <c r="A23" s="13" t="inlineStr">
        <is>
          <t>High-risk open (model)</t>
        </is>
      </c>
      <c r="B23" s="25" t="inlineStr">
        <is>
          <t>Open tickets whose predicted breach probability falls in the model's 'high' band (the top ~10% of validation-period risk).</t>
        </is>
      </c>
    </row>
    <row r="24">
      <c r="A24" s="13" t="inlineStr">
        <is>
          <t>Breach probability</t>
        </is>
      </c>
      <c r="B24" s="25" t="inlineStr">
        <is>
          <t>P(SLA breach) from the committed scikit-learn classifier, using only information available when the ticket was opened.</t>
        </is>
      </c>
    </row>
    <row r="25">
      <c r="A25" s="13" t="inlineStr">
        <is>
          <t>Prior week / trailing average</t>
        </is>
      </c>
      <c r="B25" s="25" t="inlineStr">
        <is>
          <t>Prior week = the week before the report week. The trailing average is the mean of the four weeks before the report week (fewer if the data starts later).</t>
        </is>
      </c>
    </row>
    <row r="26">
      <c r="A26" s="13" t="inlineStr">
        <is>
          <t>Formulas</t>
        </is>
      </c>
      <c r="B26" s="25" t="inlineStr">
        <is>
          <t>Summary tiles, deltas, averages, compliance, totals, age and past-due columns are Excel formulas; the remaining cells hold values copied from the views.</t>
        </is>
      </c>
    </row>
    <row r="27">
      <c r="A27" s="13" t="inlineStr">
        <is>
          <t>Timezone</t>
        </is>
      </c>
      <c r="B27" s="25" t="inlineStr">
        <is>
          <t>All timestamps are UTC.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slawatch-report 0.1.0</dc:creator>
  <dc:title>Weekly service-desk KPI report - week ending 2026-06-28 (synthetic data)</dc:title>
  <dc:description>SYNTHETIC DATA - generated by slawatch; no real customers, sites or tickets</dc:description>
  <dc:subject>SYNTHETIC DATA generated by slawatch</dc:subject>
  <dcterms:created xsi:type="dcterms:W3CDTF">2026-09-16T21:45:56Z</dcterms:created>
  <dcterms:modified xsi:type="dcterms:W3CDTF">2026-09-16T21:45:56Z</dcterms:modified>
</cp:coreProperties>
</file>